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ARRE PREMIUM\Desktop\"/>
    </mc:Choice>
  </mc:AlternateContent>
  <bookViews>
    <workbookView xWindow="0" yWindow="0" windowWidth="20490" windowHeight="7500" activeTab="2"/>
  </bookViews>
  <sheets>
    <sheet name="CONCERT KATY PERRY PARIS" sheetId="1" r:id="rId1"/>
    <sheet name="CONCERT ONE REPUBLIC PARIS " sheetId="2" r:id="rId2"/>
    <sheet name="CONCERT STING PARIS" sheetId="3" r:id="rId3"/>
    <sheet name="CONCERT M.POKORA PARIS 2025" sheetId="5" r:id="rId4"/>
    <sheet name="CONCERT VYBZ KARTEL PARIS 2025" sheetId="6" r:id="rId5"/>
    <sheet name="CONCERT AMIR PARIS 2025" sheetId="7" r:id="rId6"/>
    <sheet name="CONCERT SOPRANO PARIS 2025" sheetId="8" r:id="rId7"/>
    <sheet name="CONCERT DINOS PARIS 2025" sheetId="9" r:id="rId8"/>
    <sheet name="CONCERT KENDJI GIRAC PARIS 2026" sheetId="10" r:id="rId9"/>
    <sheet name="CONCERT INDOCHINE PARIS 2026" sheetId="12" r:id="rId10"/>
    <sheet name="CONCERT NEJ PARIS 2026" sheetId="13" r:id="rId11"/>
    <sheet name="CONCERT WILL SMITH PARIS 2025" sheetId="15" r:id="rId12"/>
    <sheet name="CONCERT YSEULT PARIS 2025" sheetId="16" r:id="rId13"/>
    <sheet name="CONCERT PIT BACCARDI PARIS 2025" sheetId="17" r:id="rId14"/>
    <sheet name="SPECTACLE GAD ELMALEH PARIS" sheetId="18" r:id="rId15"/>
    <sheet name="CONCERT ANGELIQUE KIDJO PARIS " sheetId="19" r:id="rId16"/>
  </sheets>
  <definedNames>
    <definedName name="_xlnm.Print_Area" localSheetId="5">'CONCERT AMIR PARIS 2025'!$1:$11</definedName>
    <definedName name="_xlnm.Print_Area" localSheetId="15">'CONCERT ANGELIQUE KIDJO PARIS '!$1:$12</definedName>
    <definedName name="_xlnm.Print_Area" localSheetId="7">'CONCERT DINOS PARIS 2025'!$1:$13</definedName>
    <definedName name="_xlnm.Print_Area" localSheetId="9">'CONCERT INDOCHINE PARIS 2026'!$1:$11</definedName>
    <definedName name="_xlnm.Print_Area" localSheetId="0">'CONCERT KATY PERRY PARIS'!$1:$10</definedName>
    <definedName name="_xlnm.Print_Area" localSheetId="8">'CONCERT KENDJI GIRAC PARIS 2026'!$1:$11</definedName>
    <definedName name="_xlnm.Print_Area" localSheetId="3">'CONCERT M.POKORA PARIS 2025'!$1:$11</definedName>
    <definedName name="_xlnm.Print_Area" localSheetId="1">'CONCERT ONE REPUBLIC PARIS '!$1:$11</definedName>
    <definedName name="_xlnm.Print_Area" localSheetId="6">'CONCERT SOPRANO PARIS 2025'!$1:$13</definedName>
    <definedName name="_xlnm.Print_Area" localSheetId="2">'CONCERT STING PARIS'!$1:$12</definedName>
    <definedName name="_xlnm.Print_Area" localSheetId="4">'CONCERT VYBZ KARTEL PARIS 2025'!$1:$13</definedName>
    <definedName name="_xlnm.Print_Area" localSheetId="11">'CONCERT WILL SMITH PARIS 2025'!$1:$10</definedName>
    <definedName name="_xlnm.Print_Area" localSheetId="12">'CONCERT YSEULT PARIS 2025'!$1:$10</definedName>
    <definedName name="_xlnm.Print_Area" localSheetId="14">'SPECTACLE GAD ELMALEH PARIS'!$1:$12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19" l="1"/>
  <c r="H11" i="19"/>
  <c r="H12" i="19"/>
  <c r="H12" i="18"/>
  <c r="G10" i="17"/>
  <c r="G11" i="17"/>
  <c r="G12" i="17"/>
  <c r="H9" i="16"/>
  <c r="H10" i="16"/>
  <c r="G10" i="15"/>
  <c r="H14" i="13"/>
  <c r="H13" i="13"/>
  <c r="H12" i="13"/>
  <c r="H11" i="13"/>
  <c r="H10" i="13"/>
  <c r="H9" i="13"/>
  <c r="G14" i="13"/>
  <c r="G13" i="13"/>
  <c r="G12" i="13"/>
  <c r="G11" i="13"/>
  <c r="G10" i="13"/>
  <c r="G9" i="13"/>
  <c r="H11" i="12"/>
  <c r="H10" i="12"/>
  <c r="H9" i="12"/>
  <c r="G9" i="12"/>
  <c r="G11" i="12"/>
  <c r="G10" i="12"/>
  <c r="H10" i="9"/>
  <c r="H11" i="9"/>
  <c r="H12" i="9"/>
  <c r="H13" i="9"/>
  <c r="H9" i="9"/>
  <c r="G9" i="9"/>
  <c r="G10" i="9"/>
  <c r="G11" i="9"/>
  <c r="G12" i="9"/>
  <c r="G13" i="9"/>
  <c r="H10" i="8"/>
  <c r="H11" i="8"/>
  <c r="H12" i="8"/>
  <c r="H13" i="8"/>
  <c r="H9" i="8"/>
  <c r="G9" i="8"/>
  <c r="G10" i="8"/>
  <c r="G11" i="8"/>
  <c r="G12" i="8"/>
  <c r="G13" i="8"/>
  <c r="G10" i="7"/>
  <c r="G11" i="7"/>
  <c r="H9" i="7"/>
  <c r="H11" i="7"/>
  <c r="H10" i="7"/>
  <c r="G9" i="7"/>
  <c r="H13" i="6"/>
  <c r="H12" i="6"/>
  <c r="H11" i="6"/>
  <c r="H10" i="6"/>
  <c r="H9" i="6"/>
  <c r="G13" i="6"/>
  <c r="G12" i="6"/>
  <c r="G11" i="6"/>
  <c r="G10" i="6"/>
  <c r="G9" i="6"/>
  <c r="H9" i="5"/>
  <c r="H10" i="5"/>
  <c r="H11" i="5"/>
  <c r="G11" i="5"/>
  <c r="G10" i="5"/>
  <c r="G9" i="5"/>
  <c r="H9" i="3"/>
  <c r="G9" i="3"/>
  <c r="H11" i="3"/>
  <c r="H12" i="3"/>
  <c r="H10" i="3"/>
  <c r="G10" i="3"/>
  <c r="G11" i="3"/>
  <c r="G12" i="3"/>
  <c r="H10" i="1"/>
  <c r="H9" i="1"/>
  <c r="G11" i="2"/>
  <c r="G10" i="2"/>
  <c r="H10" i="2" s="1"/>
  <c r="G9" i="2"/>
  <c r="H9" i="2" s="1"/>
  <c r="G10" i="1"/>
  <c r="G9" i="1"/>
  <c r="G12" i="19"/>
  <c r="G11" i="19"/>
  <c r="G10" i="19"/>
  <c r="G9" i="19"/>
  <c r="H9" i="19" s="1"/>
  <c r="G12" i="18"/>
  <c r="G11" i="18"/>
  <c r="H11" i="18" s="1"/>
  <c r="G10" i="18"/>
  <c r="H10" i="18" s="1"/>
  <c r="G9" i="18"/>
  <c r="H9" i="18" s="1"/>
  <c r="H12" i="17"/>
  <c r="H11" i="17"/>
  <c r="H10" i="17"/>
  <c r="G9" i="17"/>
  <c r="H9" i="17" s="1"/>
  <c r="G8" i="16"/>
  <c r="H8" i="16" s="1"/>
  <c r="G9" i="16"/>
  <c r="G10" i="16"/>
  <c r="G7" i="16"/>
  <c r="H7" i="16" s="1"/>
  <c r="H10" i="15"/>
  <c r="G9" i="15"/>
  <c r="H9" i="15" s="1"/>
</calcChain>
</file>

<file path=xl/sharedStrings.xml><?xml version="1.0" encoding="utf-8"?>
<sst xmlns="http://schemas.openxmlformats.org/spreadsheetml/2006/main" count="506" uniqueCount="139">
  <si>
    <t xml:space="preserve">TARIFS HOSPITALITES </t>
  </si>
  <si>
    <t>REF</t>
  </si>
  <si>
    <t>Forfait</t>
  </si>
  <si>
    <t>Description</t>
  </si>
  <si>
    <t>TARIFS PARTENAIRES</t>
  </si>
  <si>
    <t>MARGES %</t>
  </si>
  <si>
    <t>TARIF CP CATALOGUE</t>
  </si>
  <si>
    <t>PARTENAIRES</t>
  </si>
  <si>
    <t>COMMENTAIRES</t>
  </si>
  <si>
    <t>Tarifs en EURO</t>
  </si>
  <si>
    <t>Tarifs en FCFA</t>
  </si>
  <si>
    <t xml:space="preserve">Tickets disponibles </t>
  </si>
  <si>
    <t>VIP1 - INFINITY CIRCLE VIP PACKAGE</t>
  </si>
  <si>
    <t xml:space="preserve">1) Un billet en fosse or debout donnant accès à la zone "Infinity" située au centre de l'avancée de scène au plus proche de la scène principale
2) Un produit dérivé spécialement conçu pour les VIPs
3) Un laminé VIP commémoratif et son tour de cou coordonné
4) Un accès coupe file et dédié au stand de produits dérivés avant l'ouverture au public
5) Enregistrement VIP prioritaire ainsi qu'une file d'attente et un accueil dédiés
</t>
  </si>
  <si>
    <t>VIP2 - LIFETIMES FRONT OF STAGE VIP PACKAGE</t>
  </si>
  <si>
    <t>1)Un billet en fosse or debout donnant accès aux côtés de l'avancée de scène
2) Un produit dérivé spécialement conçu pour les VIPs
3) Un laminé VIP commémoratif et son tour de cou coordonné
4) Un accès coupe file et dédié au stand de produits dérivés avant l'ouverture au public                5)Enregistrement VIP prioritaire ainsi qu'une file d'attente et un accueil dédiés                                      6)Une partie des recettes sera reversée à la Firework Foundation, l'association de Katy Perry qui se consacre à l'autonomisation des enfants issus de communautés défavorisées en allumant leur lumière intérieure par le biais des arts</t>
  </si>
  <si>
    <t>364.50 €</t>
  </si>
  <si>
    <t>309.50 €</t>
  </si>
  <si>
    <t>https://billetterie.aegpresents.fr/fr/liste/katy-perry-billet/idlist/4217/codtypadh/PRM/numadh/01/codeconf/promo01/adhonly</t>
  </si>
  <si>
    <t xml:space="preserve">
EXPÉRIENCE DU SALON VIP</t>
  </si>
  <si>
    <t>1)Un billet premium pour voir OneRepublic en live !
2)Accès au salon VIP : Entrez dans le salon VIP OneRepublic, où vous découvrirez :                                                                                                                                   -Une boisson de bienvenue et des collations légères*                                                    -Tirage au sort exclusif : Chaque soir, un invité chanceux gagnera des produits et souvenirs OneRepublic dédicacés                                                                     -Shopping privé de produits dérivés : Parcourez la sélection exclusive de produits dérivés dans le salon                                                                                              -Une playlist soigneusement sélectionnée pour vous mettre dans l'ambiance du concert                                                                                                            - Recevez du contenu spécial VIP OneRepublic exclusif via un code QR
3)Article cadeau VIP exclusif OneRepublic
4)Laminé et cordon VIP commémoratifs
5)Personnel de l'événement sur place et point de collecte des marchandises</t>
  </si>
  <si>
    <t xml:space="preserve">
FORFAIT VIP ENTRÉE ANTICIPÉE</t>
  </si>
  <si>
    <t>1)Un billet d'admission générale debout pour voir OneRepublic en direct ! / Un billet Gold Circle pour voir OneRepublic en direct !*
2)Entrée anticipée dans votre zone debout désignée avant les détenteurs de billets standard
3)Article cadeau VIP exclusif OneRepublic
4)Laminé et cordon VIP commémoratifs                                                          5)Opportunité d'achat de produits dérivés avant le spectacle (le cas échéant)                                                                                                                          6)Personnel de l'événement sur place et point de collecte des produits dérivés</t>
  </si>
  <si>
    <t xml:space="preserve">
FORFAIT VIP PREMIUM ASSIS</t>
  </si>
  <si>
    <t xml:space="preserve">1)Un billet premium pour voir OneRepublic en direct !
2)Cadeau VIP exclusif OneRepublic
3)Laminé et cordon VIP commémoratifs
4)Personnel sur place et point de collecte des marchandises
</t>
  </si>
  <si>
    <t>304.00 €</t>
  </si>
  <si>
    <t>172.00 €</t>
  </si>
  <si>
    <t xml:space="preserve">194.00 €
</t>
  </si>
  <si>
    <t>https://www.ticketmaster.fr/fr/pack/package-onerepublic-billet/idpack/4162?_ga=2.158672825.2020460404.1750666094-1935355795.1750666091</t>
  </si>
  <si>
    <t>PLATINUM 1</t>
  </si>
  <si>
    <t>PLATINUM 2</t>
  </si>
  <si>
    <t>PLATINUM 3</t>
  </si>
  <si>
    <t>PLATINUM 4</t>
  </si>
  <si>
    <t>555.00 €</t>
  </si>
  <si>
    <t>545.00 €</t>
  </si>
  <si>
    <t>535.00 €</t>
  </si>
  <si>
    <t>525.00 €</t>
  </si>
  <si>
    <t>PAS DISPONIBLE</t>
  </si>
  <si>
    <t>https://www.ticketmaster.fr/fr/manifestation/sting-billet/idmanif/609182</t>
  </si>
  <si>
    <t>CATEGORIE 1</t>
  </si>
  <si>
    <t>83.00 €</t>
  </si>
  <si>
    <t>CATEGORIE 2</t>
  </si>
  <si>
    <t>69.00 €</t>
  </si>
  <si>
    <t>CATEGORIE 3</t>
  </si>
  <si>
    <t>59.00 €</t>
  </si>
  <si>
    <t>CATEGORIE OR</t>
  </si>
  <si>
    <t>131.30 €</t>
  </si>
  <si>
    <t>FOSSE OR</t>
  </si>
  <si>
    <t>104.90 €</t>
  </si>
  <si>
    <t>CATEGORIE 2 COTE SCENE</t>
  </si>
  <si>
    <t>86.20 €</t>
  </si>
  <si>
    <t>FOSSE</t>
  </si>
  <si>
    <t>65.30 €</t>
  </si>
  <si>
    <t>https://billetterie.accorarena.com/fr/manifestation/vybz-kartel-billet/idmanif/621495/codtypadh/FTT/numadh/01/codeconf/FTMS01?_gl=1%2A1fq1gxg%2A_gcl_au%2AMTc0ODY2NzE4Mi4xNzUwNTk0NzY4LjcwOTcyMzE2Ny4xNzUwNjc2ODg5LjE3NTA2NzY4OTE.</t>
  </si>
  <si>
    <t xml:space="preserve">70.00 €
</t>
  </si>
  <si>
    <t>50.00 €</t>
  </si>
  <si>
    <t xml:space="preserve">CATEGORIE 2 </t>
  </si>
  <si>
    <t>CONCERT AMIR 06 DECEMBRE 2025 PARIS ACCOR ARENA</t>
  </si>
  <si>
    <t xml:space="preserve">TARIFS  </t>
  </si>
  <si>
    <t xml:space="preserve">TARIFS </t>
  </si>
  <si>
    <t>40.00 €</t>
  </si>
  <si>
    <t>https://billetterie.accorarena.com/fr/manifestation/amir-c-tour-billet/idmanif/595557/codtypadh/FTT/numadh/01/codeconf/FTMS01?_gl=1%2A4n10mq%2A_gcl_au%2AMTc0ODY2NzE4Mi4xNzUwNTk0NzY4LjcwOTcyMzE2Ny4xNzUwNjc2ODg5LjE3NTA2NzY4OTE.</t>
  </si>
  <si>
    <t>85.00 €</t>
  </si>
  <si>
    <t>65.00 €</t>
  </si>
  <si>
    <t>45.00 €</t>
  </si>
  <si>
    <t>EARLY ENTRANCE</t>
  </si>
  <si>
    <t xml:space="preserve">45.00 €
</t>
  </si>
  <si>
    <t>40.00 €</t>
  </si>
  <si>
    <t>https://www.ticketmaster.fr/fr/manifestation/soprano-billet/idmanif/585487/idtier/18864121?utm_medium=affiliate&amp;clickId=X1pX2bRbsxyKUb-QQmRNn2PEUksV9cRmsyuvw00&amp;irgwc=1&amp;utm_source=Songkick&amp;utm_campaign=1234554&amp;utm_content=1107977_7516</t>
  </si>
  <si>
    <t>95.00 €</t>
  </si>
  <si>
    <t>69.70 €</t>
  </si>
  <si>
    <t>62.00 €</t>
  </si>
  <si>
    <t>FRONT</t>
  </si>
  <si>
    <t>59.80 €</t>
  </si>
  <si>
    <t>49.90 €</t>
  </si>
  <si>
    <t>80.00 €</t>
  </si>
  <si>
    <t>65.00 €</t>
  </si>
  <si>
    <t>https://billetterie.accorarena.com/fr/manifestation/kendji-girac-billet/idmanif/599187/codtypadh/FTT/numadh/01/codeconf/FTMS0</t>
  </si>
  <si>
    <t>75.00 €</t>
  </si>
  <si>
    <t>55.00 €</t>
  </si>
  <si>
    <t>70.00 €</t>
  </si>
  <si>
    <t>55.00 €</t>
  </si>
  <si>
    <t>https://billetterie.accorarena.com/fr/manifestation/nej-billet/idmanif/614062/idseance/4030496/codtypadh/FTT/numadh/01/codeconf/FTMS01?_gl=1%2Anfdq5h%2A_gcl_au%2AMTc0ODY2NzE4Mi4xNzUwNTk0NzY4LjcwOTcyMzE2Ny4xNzUwNjc2ODg5LjE3NTA2NzY4OTE.</t>
  </si>
  <si>
    <t>CONCERT NEJ DU 26 MARS 2026 PARIS ACCOR ARENA</t>
  </si>
  <si>
    <t>VIP 2 - Will Smith Group Photo &amp; Soundcheck Experience</t>
  </si>
  <si>
    <t>1)Un billet en catégorie Or Assis Numéroté  2)Une opportunité de photo de groupe et de rencontre avec l'artiste                                          3)Un accès à la balance son                                     4)Un lot de produits dérivés                                      5)Un VIP laminate commémoratif                          6)Une entrée anticipée en salle                                  7)Un accueil dédié</t>
  </si>
  <si>
    <t>VIP 3 - Will Smith First Entry Merch Package</t>
  </si>
  <si>
    <t xml:space="preserve">1)Un billet en catégorie Or Assis Numéroté                                           2)Un accès à la balance son                                     3)Un lot de produits dérivés   4)Un VIP laminate commémoratif
5)Une entrée anticipée en salle
6)Un accueil dédié       </t>
  </si>
  <si>
    <t>505.80 €</t>
  </si>
  <si>
    <t>307.80 €</t>
  </si>
  <si>
    <t>TARIF A</t>
  </si>
  <si>
    <t>https://billetterie.aegpresents.fr/fr/liste/aeg-presents-billetterie/idlist/940/codtypadh/PRM/numadh/01/codeconf/promo01/adhonly</t>
  </si>
  <si>
    <t>https://billetterie.aegpresents.fr/fr/pack/package-vip-will-smith-billet/idpack/4459/codtypadh/PRM/numadh/01/codeconf/promo01/adhonly</t>
  </si>
  <si>
    <t>CARRE OR - OLYMPIA PLEIN</t>
  </si>
  <si>
    <t xml:space="preserve">CAT 1 - OLYMPIA PLEIN
</t>
  </si>
  <si>
    <t>CAT 2 - OLYMPIA PLEIN</t>
  </si>
  <si>
    <t xml:space="preserve">PAS DISPONIBLE </t>
  </si>
  <si>
    <t>CAT 3 - OLYMPIA PLEIN</t>
  </si>
  <si>
    <t xml:space="preserve">TARIF </t>
  </si>
  <si>
    <t>https://www.olympiahall.com/plan-de-salle/yseult-1065735/11124147</t>
  </si>
  <si>
    <t xml:space="preserve">CONCERT YSEULT  OLYMPIA PARIS </t>
  </si>
  <si>
    <t xml:space="preserve">                                    TARIFS  </t>
  </si>
  <si>
    <t>CONCERT WILL SMITH  OLYMPIA PARIS</t>
  </si>
  <si>
    <t>LE 02 SEPTEMBRE 2025</t>
  </si>
  <si>
    <t>VIP - OLYMPIA PLEIN</t>
  </si>
  <si>
    <t>CAT 1 - OLYMPIA PLEIN</t>
  </si>
  <si>
    <t>https://www.olympiahall.com/plan-de-salle/pit-baccardi-1055661/11068901</t>
  </si>
  <si>
    <t>DU 25 SEPTEMBRE 2025</t>
  </si>
  <si>
    <t>TARIFS  HOSPITALITES</t>
  </si>
  <si>
    <t>SPECTACLE GAD ELMALEH PARIS OLYMPIA</t>
  </si>
  <si>
    <t>LE 07 DECEMBRE 2025</t>
  </si>
  <si>
    <t>https://www.olympiahall.com/plan-de-salle/gad-elmaleh-1049319/11017015</t>
  </si>
  <si>
    <t>CONCERT ANGELIQUE KIDJO PARIS OLYMPIA</t>
  </si>
  <si>
    <t>LE 12 MAI 2026</t>
  </si>
  <si>
    <t xml:space="preserve">CONCERT PIT BACCARDI  PARIS OLYMPIA </t>
  </si>
  <si>
    <t xml:space="preserve">CONCERT KATY PERRY </t>
  </si>
  <si>
    <t>LE 04 ET 05 NOVEMBRE 2025 A L'ACCOR ARENA DE PARIS A 20H00</t>
  </si>
  <si>
    <t>TARIF</t>
  </si>
  <si>
    <t xml:space="preserve">CONCERT ONE REPUBLIC </t>
  </si>
  <si>
    <t>07 OCTOBRE 2025 PARIS ACCOR ARENA</t>
  </si>
  <si>
    <t>PARTENAIRES / LIENS</t>
  </si>
  <si>
    <t xml:space="preserve">CONCERT STING  </t>
  </si>
  <si>
    <t>09 OCTOBRE 2025 PARIS ACCOR ARENA A 20H00</t>
  </si>
  <si>
    <t xml:space="preserve">CONCERT M.POKORA </t>
  </si>
  <si>
    <t>LE 25 NOVEMBRE 2025 PARIS ACCOR ARENA A 20H00</t>
  </si>
  <si>
    <t>TARIFS</t>
  </si>
  <si>
    <t xml:space="preserve">CONCERT VYBZ KARTEL </t>
  </si>
  <si>
    <t>10 JUILLET 2025 PARIS ACCOR ARENA A 20H00</t>
  </si>
  <si>
    <t>LE 06 DECEMBRE 2025 PARIS ACCOR ARENA A 20H00</t>
  </si>
  <si>
    <t xml:space="preserve">CONCERT SOPRANO </t>
  </si>
  <si>
    <t>DU 11 AU 14 DECEMBRE 2025 PARIS ACCOR ARENA A 20H00</t>
  </si>
  <si>
    <t xml:space="preserve">CONCERT DINOS </t>
  </si>
  <si>
    <t>DU 21 AU 22 DECEMBRE 2025 PARIS ACCOR ARENA A 20H00</t>
  </si>
  <si>
    <t xml:space="preserve">CONCERT KENDJI GIRAC </t>
  </si>
  <si>
    <t>DU 14 AU 15 MARS 2026 PARIS ACCOR ARENA</t>
  </si>
  <si>
    <t xml:space="preserve">CONCERT INDOCHINE </t>
  </si>
  <si>
    <t>DU 25 FEVRIER 2026 PARIS ACCOR ARENA</t>
  </si>
  <si>
    <t>https://billetterie.accorarena.com/fr/manifestation/indochine-billet/idmanif/598643/codtypadh/FTT/numadh/01/codeconf/FTMS01?_gl=1%2A4dy5qn%2A_gcl_au%</t>
  </si>
  <si>
    <t xml:space="preserve">                      LE 04 NOVEMBRE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</si>
</sst>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 _C_F_A_-;\-* #,##0\ _C_F_A_-;_-* &quot;-&quot;\ _C_F_A_-;_-@_-"/>
    <numFmt numFmtId="164" formatCode="#,##0\ [$€-1];[Red]\-#,##0\ [$€-1]"/>
  </numFmts>
  <fonts count="14" x14ac:knownFonts="1">
    <font>
      <sz val="11"/>
      <color theme="1"/>
      <name val="Calibri"/>
      <family val="2"/>
      <scheme val="minor"/>
    </font>
    <font>
      <sz val="11"/>
      <color theme="1"/>
      <name val="Calibri"/>
      <family val="2"/>
      <scheme val="minor"/>
    </font>
    <font>
      <b/>
      <sz val="48"/>
      <color theme="1"/>
      <name val="Times New Roman"/>
      <family val="1"/>
    </font>
    <font>
      <b/>
      <sz val="24"/>
      <color theme="1"/>
      <name val="Times New Roman"/>
      <family val="1"/>
    </font>
    <font>
      <sz val="20"/>
      <color theme="1"/>
      <name val="Calibri"/>
      <family val="2"/>
      <scheme val="minor"/>
    </font>
    <font>
      <sz val="20"/>
      <color theme="1"/>
      <name val="Times New Roman"/>
      <family val="1"/>
    </font>
    <font>
      <sz val="24"/>
      <color theme="1"/>
      <name val="Times New Roman"/>
      <family val="1"/>
    </font>
    <font>
      <b/>
      <sz val="20"/>
      <color theme="1"/>
      <name val="Times New Roman"/>
      <family val="1"/>
    </font>
    <font>
      <u/>
      <sz val="11"/>
      <color theme="10"/>
      <name val="Calibri"/>
      <family val="2"/>
      <scheme val="minor"/>
    </font>
    <font>
      <sz val="26"/>
      <color theme="1"/>
      <name val="Times New Roman"/>
      <family val="1"/>
    </font>
    <font>
      <sz val="24"/>
      <color theme="1"/>
      <name val="Calibri"/>
      <family val="2"/>
      <scheme val="minor"/>
    </font>
    <font>
      <sz val="16"/>
      <color theme="1"/>
      <name val="Times New Roman"/>
      <family val="1"/>
    </font>
    <font>
      <b/>
      <sz val="22"/>
      <color theme="1"/>
      <name val="Times New Roman"/>
      <family val="1"/>
    </font>
    <font>
      <sz val="48"/>
      <color theme="1"/>
      <name val="Times New Roman"/>
      <family val="1"/>
    </font>
  </fonts>
  <fills count="19">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theme="3"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s>
  <cellStyleXfs count="4">
    <xf numFmtId="0" fontId="0" fillId="0" borderId="0"/>
    <xf numFmtId="41"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106">
    <xf numFmtId="0" fontId="0" fillId="0" borderId="0" xfId="0"/>
    <xf numFmtId="0" fontId="0" fillId="0" borderId="0" xfId="0" applyBorder="1"/>
    <xf numFmtId="0" fontId="2" fillId="2" borderId="0" xfId="0" applyFont="1" applyFill="1" applyBorder="1" applyAlignment="1">
      <alignment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4" fillId="0" borderId="0" xfId="0" applyFont="1"/>
    <xf numFmtId="0" fontId="3" fillId="0" borderId="3" xfId="0" applyFont="1" applyBorder="1" applyAlignment="1">
      <alignment horizontal="center" vertical="center" wrapText="1"/>
    </xf>
    <xf numFmtId="0" fontId="5" fillId="0" borderId="1" xfId="0" applyFont="1" applyBorder="1" applyAlignment="1">
      <alignment horizontal="left" vertical="top" wrapText="1"/>
    </xf>
    <xf numFmtId="0" fontId="5" fillId="0" borderId="4" xfId="0" applyFont="1" applyBorder="1" applyAlignment="1">
      <alignment horizontal="center" vertical="center"/>
    </xf>
    <xf numFmtId="0" fontId="6" fillId="0" borderId="1" xfId="0" applyFont="1" applyBorder="1" applyAlignment="1">
      <alignment horizontal="center" vertical="center"/>
    </xf>
    <xf numFmtId="9" fontId="6" fillId="0" borderId="1" xfId="2"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3" fontId="6" fillId="0" borderId="1" xfId="0" applyNumberFormat="1"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center" vertical="center" wrapText="1"/>
    </xf>
    <xf numFmtId="0" fontId="5" fillId="0" borderId="0" xfId="0" applyFont="1" applyBorder="1" applyAlignment="1">
      <alignment horizontal="left" vertical="top" wrapText="1"/>
    </xf>
    <xf numFmtId="0" fontId="6" fillId="0" borderId="0" xfId="0" applyFont="1" applyBorder="1" applyAlignment="1">
      <alignment horizontal="center" vertical="center"/>
    </xf>
    <xf numFmtId="3" fontId="6" fillId="0" borderId="0" xfId="0" applyNumberFormat="1" applyFont="1" applyBorder="1" applyAlignment="1">
      <alignment horizontal="center" vertical="center"/>
    </xf>
    <xf numFmtId="9" fontId="6" fillId="0" borderId="0" xfId="2" applyFont="1" applyBorder="1" applyAlignment="1">
      <alignment horizontal="center" vertical="center"/>
    </xf>
    <xf numFmtId="41" fontId="5" fillId="0" borderId="0" xfId="1" applyFont="1" applyBorder="1" applyAlignment="1">
      <alignment horizontal="center" vertical="center"/>
    </xf>
    <xf numFmtId="0" fontId="6" fillId="0" borderId="0" xfId="0" applyFont="1" applyBorder="1" applyAlignment="1">
      <alignment horizontal="center" vertical="center" wrapText="1"/>
    </xf>
    <xf numFmtId="0" fontId="8" fillId="0" borderId="1" xfId="3" applyBorder="1" applyAlignment="1">
      <alignment horizontal="center" vertical="center" wrapText="1"/>
    </xf>
    <xf numFmtId="0" fontId="9" fillId="0" borderId="1" xfId="0" applyFont="1" applyBorder="1" applyAlignment="1">
      <alignment horizontal="left" vertical="top" wrapText="1"/>
    </xf>
    <xf numFmtId="0" fontId="6" fillId="0" borderId="1" xfId="0" applyFont="1" applyBorder="1" applyAlignment="1">
      <alignment horizontal="left" vertical="top" wrapText="1"/>
    </xf>
    <xf numFmtId="41" fontId="6" fillId="0" borderId="1" xfId="1" applyFont="1" applyBorder="1" applyAlignment="1">
      <alignment horizontal="center" vertical="center"/>
    </xf>
    <xf numFmtId="0" fontId="10" fillId="0" borderId="0" xfId="0" applyFont="1"/>
    <xf numFmtId="0" fontId="5" fillId="0" borderId="4" xfId="0" applyFont="1" applyBorder="1" applyAlignment="1">
      <alignment horizontal="center" vertical="center" wrapText="1"/>
    </xf>
    <xf numFmtId="0" fontId="11" fillId="0" borderId="1" xfId="0" applyFont="1" applyBorder="1" applyAlignment="1">
      <alignment horizontal="left" vertical="top" wrapText="1"/>
    </xf>
    <xf numFmtId="0" fontId="12" fillId="0" borderId="3" xfId="0" applyFont="1" applyBorder="1" applyAlignment="1">
      <alignment horizontal="center" vertical="center" wrapText="1"/>
    </xf>
    <xf numFmtId="164" fontId="5" fillId="0" borderId="4" xfId="0" applyNumberFormat="1" applyFont="1" applyBorder="1" applyAlignment="1">
      <alignment horizontal="center" vertical="center" wrapText="1"/>
    </xf>
    <xf numFmtId="0" fontId="11" fillId="0" borderId="1" xfId="0" applyFont="1" applyBorder="1" applyAlignment="1">
      <alignment horizontal="center" vertical="center" wrapText="1"/>
    </xf>
    <xf numFmtId="164" fontId="6" fillId="0" borderId="1" xfId="0" applyNumberFormat="1" applyFont="1" applyBorder="1" applyAlignment="1">
      <alignment horizontal="center" vertical="center"/>
    </xf>
    <xf numFmtId="0" fontId="0" fillId="0" borderId="0" xfId="0" applyAlignment="1">
      <alignment horizontal="center" vertical="center"/>
    </xf>
    <xf numFmtId="0" fontId="0" fillId="5" borderId="0" xfId="0" applyFill="1"/>
    <xf numFmtId="41" fontId="5" fillId="0" borderId="4" xfId="1" applyFont="1" applyBorder="1" applyAlignment="1">
      <alignment horizontal="center" vertical="center" wrapText="1"/>
    </xf>
    <xf numFmtId="41" fontId="6" fillId="0" borderId="1" xfId="1" applyFont="1" applyBorder="1" applyAlignment="1">
      <alignment horizontal="center" vertical="center" wrapText="1"/>
    </xf>
    <xf numFmtId="41" fontId="0" fillId="0" borderId="0" xfId="1" applyFont="1"/>
    <xf numFmtId="41" fontId="5" fillId="0" borderId="1" xfId="0" applyNumberFormat="1" applyFont="1" applyBorder="1" applyAlignment="1">
      <alignment horizontal="center" vertical="center" wrapText="1"/>
    </xf>
    <xf numFmtId="41" fontId="6" fillId="12" borderId="1" xfId="1" applyFont="1" applyFill="1" applyBorder="1" applyAlignment="1">
      <alignment horizontal="center" vertical="center"/>
    </xf>
    <xf numFmtId="41" fontId="6" fillId="8" borderId="1" xfId="1" applyFont="1" applyFill="1" applyBorder="1" applyAlignment="1">
      <alignment horizontal="center" vertical="center"/>
    </xf>
    <xf numFmtId="9" fontId="6" fillId="17" borderId="1" xfId="2" applyFont="1" applyFill="1" applyBorder="1" applyAlignment="1">
      <alignment horizontal="center" vertical="center"/>
    </xf>
    <xf numFmtId="41" fontId="5" fillId="18" borderId="1" xfId="0" applyNumberFormat="1" applyFont="1" applyFill="1" applyBorder="1" applyAlignment="1">
      <alignment horizontal="center" vertical="center" wrapText="1"/>
    </xf>
    <xf numFmtId="41" fontId="6" fillId="18" borderId="1" xfId="1" applyFont="1" applyFill="1" applyBorder="1" applyAlignment="1">
      <alignment horizontal="center" vertical="center"/>
    </xf>
    <xf numFmtId="41" fontId="5" fillId="5" borderId="1" xfId="0" applyNumberFormat="1" applyFont="1" applyFill="1" applyBorder="1" applyAlignment="1">
      <alignment horizontal="center" vertical="center" wrapText="1"/>
    </xf>
    <xf numFmtId="41" fontId="6" fillId="5" borderId="1" xfId="1" applyFont="1" applyFill="1" applyBorder="1" applyAlignment="1">
      <alignment horizontal="center" vertical="center"/>
    </xf>
    <xf numFmtId="41" fontId="6" fillId="5" borderId="1" xfId="1" applyFont="1" applyFill="1" applyBorder="1" applyAlignment="1">
      <alignment vertical="center"/>
    </xf>
    <xf numFmtId="41" fontId="5" fillId="5" borderId="1" xfId="1" applyFont="1" applyFill="1" applyBorder="1" applyAlignment="1">
      <alignment horizontal="center" vertical="center" wrapText="1"/>
    </xf>
    <xf numFmtId="41" fontId="5" fillId="18" borderId="1" xfId="0" applyNumberFormat="1" applyFont="1" applyFill="1" applyBorder="1" applyAlignment="1">
      <alignment horizontal="left" vertical="center" wrapText="1"/>
    </xf>
    <xf numFmtId="41" fontId="5" fillId="18" borderId="1" xfId="1" applyFont="1" applyFill="1" applyBorder="1" applyAlignment="1">
      <alignment horizontal="center" vertical="center"/>
    </xf>
    <xf numFmtId="41" fontId="5" fillId="5" borderId="1" xfId="1" applyFont="1" applyFill="1" applyBorder="1" applyAlignment="1">
      <alignment horizontal="center" vertical="center"/>
    </xf>
    <xf numFmtId="41" fontId="5" fillId="12" borderId="1" xfId="1" applyFont="1" applyFill="1" applyBorder="1" applyAlignment="1">
      <alignment horizontal="center" vertical="center"/>
    </xf>
    <xf numFmtId="9" fontId="5" fillId="17" borderId="1" xfId="2" applyFont="1" applyFill="1" applyBorder="1" applyAlignment="1">
      <alignment horizontal="center" vertical="center"/>
    </xf>
    <xf numFmtId="41" fontId="5" fillId="8" borderId="1" xfId="1" applyFont="1" applyFill="1" applyBorder="1" applyAlignment="1">
      <alignment horizontal="center" vertical="center"/>
    </xf>
    <xf numFmtId="0" fontId="5" fillId="12" borderId="1" xfId="0" applyFont="1" applyFill="1" applyBorder="1" applyAlignment="1">
      <alignment horizontal="center" vertical="center" wrapText="1"/>
    </xf>
    <xf numFmtId="0" fontId="8" fillId="18" borderId="1" xfId="3" applyFill="1" applyBorder="1" applyAlignment="1">
      <alignment horizontal="center" vertical="center" wrapText="1"/>
    </xf>
    <xf numFmtId="41" fontId="5" fillId="18" borderId="1" xfId="1" applyFont="1" applyFill="1" applyBorder="1" applyAlignment="1">
      <alignment horizontal="center" vertical="center" wrapText="1"/>
    </xf>
    <xf numFmtId="1" fontId="5" fillId="18" borderId="1" xfId="0" applyNumberFormat="1" applyFont="1" applyFill="1" applyBorder="1" applyAlignment="1">
      <alignment horizontal="center" vertical="center" wrapText="1"/>
    </xf>
    <xf numFmtId="0" fontId="2" fillId="16" borderId="0"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17"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3" borderId="0" xfId="0" applyFont="1" applyFill="1" applyAlignment="1">
      <alignment horizontal="center" vertical="center"/>
    </xf>
    <xf numFmtId="0" fontId="13" fillId="3" borderId="0" xfId="0" applyFont="1" applyFill="1" applyAlignment="1">
      <alignment horizontal="center" vertical="center"/>
    </xf>
    <xf numFmtId="0" fontId="2" fillId="10" borderId="0" xfId="0" applyFont="1" applyFill="1" applyBorder="1" applyAlignment="1">
      <alignment horizontal="center" vertical="center" wrapText="1"/>
    </xf>
    <xf numFmtId="0" fontId="3" fillId="8"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2" fillId="7" borderId="0" xfId="0" applyFont="1" applyFill="1" applyBorder="1" applyAlignment="1">
      <alignment horizontal="center" vertical="center"/>
    </xf>
    <xf numFmtId="0" fontId="3" fillId="18" borderId="1" xfId="0" applyFont="1" applyFill="1" applyBorder="1" applyAlignment="1">
      <alignment horizontal="center" vertical="center" wrapText="1"/>
    </xf>
    <xf numFmtId="0" fontId="2" fillId="9" borderId="0" xfId="0" applyFont="1" applyFill="1" applyBorder="1" applyAlignment="1">
      <alignment horizontal="center" vertical="center" wrapText="1"/>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3" fillId="12" borderId="7" xfId="0" applyFont="1" applyFill="1" applyBorder="1" applyAlignment="1">
      <alignment horizontal="center" vertical="center"/>
    </xf>
    <xf numFmtId="0" fontId="2" fillId="9" borderId="0" xfId="0" applyFont="1" applyFill="1" applyBorder="1" applyAlignment="1">
      <alignment horizontal="center" vertical="center"/>
    </xf>
    <xf numFmtId="0" fontId="2" fillId="3" borderId="0" xfId="0" applyFont="1" applyFill="1" applyAlignment="1">
      <alignment horizontal="center"/>
    </xf>
    <xf numFmtId="0" fontId="2" fillId="14" borderId="0" xfId="0" applyFont="1" applyFill="1" applyBorder="1" applyAlignment="1">
      <alignment horizontal="center" vertical="center"/>
    </xf>
    <xf numFmtId="0" fontId="2" fillId="9" borderId="0" xfId="0" applyFont="1" applyFill="1" applyAlignment="1">
      <alignment horizontal="center"/>
    </xf>
    <xf numFmtId="0" fontId="2" fillId="4" borderId="0" xfId="0" applyFont="1" applyFill="1" applyBorder="1" applyAlignment="1">
      <alignment horizontal="center" vertical="center" wrapText="1"/>
    </xf>
    <xf numFmtId="0" fontId="2" fillId="10" borderId="0" xfId="0" applyFont="1" applyFill="1" applyBorder="1" applyAlignment="1">
      <alignment horizontal="center" vertical="center"/>
    </xf>
    <xf numFmtId="0" fontId="2" fillId="15" borderId="0" xfId="0" applyFont="1" applyFill="1" applyAlignment="1">
      <alignment horizontal="center"/>
    </xf>
    <xf numFmtId="0" fontId="2" fillId="3" borderId="0" xfId="0" applyFont="1" applyFill="1" applyBorder="1" applyAlignment="1">
      <alignment horizontal="center" vertical="center" wrapText="1"/>
    </xf>
    <xf numFmtId="0" fontId="2" fillId="11" borderId="0" xfId="0" applyFont="1" applyFill="1" applyBorder="1" applyAlignment="1">
      <alignment horizontal="center" vertical="center"/>
    </xf>
    <xf numFmtId="0" fontId="2" fillId="13" borderId="0" xfId="0" applyFont="1" applyFill="1" applyAlignment="1">
      <alignment horizont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12" borderId="1" xfId="0" applyFont="1" applyFill="1" applyBorder="1" applyAlignment="1">
      <alignment horizontal="center" vertical="center" wrapText="1"/>
    </xf>
    <xf numFmtId="0" fontId="3" fillId="18" borderId="1" xfId="0" applyFont="1" applyFill="1" applyBorder="1" applyAlignment="1">
      <alignment horizontal="center" vertical="center"/>
    </xf>
    <xf numFmtId="0" fontId="2" fillId="6" borderId="0" xfId="0" applyFont="1" applyFill="1" applyBorder="1" applyAlignment="1">
      <alignment horizontal="center" vertical="center" wrapText="1"/>
    </xf>
    <xf numFmtId="15" fontId="2" fillId="3" borderId="0" xfId="0" applyNumberFormat="1" applyFont="1" applyFill="1" applyAlignment="1">
      <alignment horizontal="center" vertical="center"/>
    </xf>
    <xf numFmtId="0" fontId="13" fillId="12" borderId="12" xfId="0" applyFont="1" applyFill="1" applyBorder="1" applyAlignment="1">
      <alignment horizontal="center" vertical="center"/>
    </xf>
    <xf numFmtId="0" fontId="13" fillId="12" borderId="11"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10" xfId="0" applyFont="1" applyFill="1" applyBorder="1" applyAlignment="1">
      <alignment horizontal="center" vertical="center"/>
    </xf>
    <xf numFmtId="0" fontId="13" fillId="15" borderId="0" xfId="0" applyFont="1" applyFill="1" applyAlignment="1">
      <alignment horizontal="center" vertical="center"/>
    </xf>
  </cellXfs>
  <cellStyles count="4">
    <cellStyle name="Lien hypertexte" xfId="3" builtinId="8"/>
    <cellStyle name="Milliers [0]" xfId="1" builtinId="6"/>
    <cellStyle name="Normal" xfId="0" builtinId="0"/>
    <cellStyle name="Pourcentage" xfId="2" builtinId="5"/>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ticketmaster.fr/fr/manifestation/sting-billet/idmanif/609182" TargetMode="External"/><Relationship Id="rId2" Type="http://schemas.openxmlformats.org/officeDocument/2006/relationships/hyperlink" Target="https://www.ticketmaster.fr/fr/manifestation/sting-billet/idmanif/609182" TargetMode="External"/><Relationship Id="rId1" Type="http://schemas.openxmlformats.org/officeDocument/2006/relationships/hyperlink" Target="https://www.ticketmaster.fr/fr/manifestation/sting-billet/idmanif/609182" TargetMode="External"/><Relationship Id="rId5" Type="http://schemas.openxmlformats.org/officeDocument/2006/relationships/printerSettings" Target="../printerSettings/printerSettings3.bin"/><Relationship Id="rId4" Type="http://schemas.openxmlformats.org/officeDocument/2006/relationships/hyperlink" Target="https://www.ticketmaster.fr/fr/manifestation/sting-billet/idmanif/60918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ticketmaster.fr/fr/manifestation/sting-billet/idmanif/609182" TargetMode="External"/><Relationship Id="rId2" Type="http://schemas.openxmlformats.org/officeDocument/2006/relationships/hyperlink" Target="https://www.ticketmaster.fr/fr/manifestation/sting-billet/idmanif/609182" TargetMode="External"/><Relationship Id="rId1" Type="http://schemas.openxmlformats.org/officeDocument/2006/relationships/hyperlink" Target="https://www.ticketmaster.fr/fr/manifestation/sting-billet/idmanif/609182"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billetterie.accorarena.com/fr/manifestation/vybz-kartel-billet/idmanif/621495/codtypadh/FTT/numadh/01/codeconf/FTMS01?_gl=1%2A1fq1gxg%2A_gcl_au%2AMTc0ODY2NzE4Mi4xNzUwNTk0NzY4LjcwOTcyMzE2Ny4xNzUwNjc2ODg5LjE3NTA2NzY4OTE." TargetMode="External"/><Relationship Id="rId2" Type="http://schemas.openxmlformats.org/officeDocument/2006/relationships/hyperlink" Target="https://billetterie.accorarena.com/fr/manifestation/vybz-kartel-billet/idmanif/621495/codtypadh/FTT/numadh/01/codeconf/FTMS01?_gl=1%2A1fq1gxg%2A_gcl_au%2AMTc0ODY2NzE4Mi4xNzUwNTk0NzY4LjcwOTcyMzE2Ny4xNzUwNjc2ODg5LjE3NTA2NzY4OTE." TargetMode="External"/><Relationship Id="rId1" Type="http://schemas.openxmlformats.org/officeDocument/2006/relationships/hyperlink" Target="https://billetterie.accorarena.com/fr/manifestation/vybz-kartel-billet/idmanif/621495/codtypadh/FTT/numadh/01/codeconf/FTMS01?_gl=1%2A1fq1gxg%2A_gcl_au%2AMTc0ODY2NzE4Mi4xNzUwNTk0NzY4LjcwOTcyMzE2Ny4xNzUwNjc2ODg5LjE3NTA2NzY4OTE."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2"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1"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5" Type="http://schemas.openxmlformats.org/officeDocument/2006/relationships/printerSettings" Target="../printerSettings/printerSettings7.bin"/><Relationship Id="rId4"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2"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1"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 Id="rId5" Type="http://schemas.openxmlformats.org/officeDocument/2006/relationships/printerSettings" Target="../printerSettings/printerSettings8.bin"/><Relationship Id="rId4" Type="http://schemas.openxmlformats.org/officeDocument/2006/relationships/hyperlink" Target="https://www.ticketmaster.fr/fr/manifestation/soprano-billet/idmanif/585487/idtier/18864121?utm_medium=affiliate&amp;clickId=X1pX2bRbsxyKUb-QQmRNn2PEUksV9cRmsyuvw00&amp;irgwc=1&amp;utm_source=Songkick&amp;utm_campaign=1234554&amp;utm_content=1107977_7516"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billetterie.accorarena.com/fr/manifestation/kendji-girac-billet/idmanif/599187/codtypadh/FTT/numadh/01/codeconf/FTMS0" TargetMode="External"/><Relationship Id="rId1" Type="http://schemas.openxmlformats.org/officeDocument/2006/relationships/hyperlink" Target="https://billetterie.accorarena.com/fr/manifestation/kendji-girac-billet/idmanif/599187/codtypadh/FTT/numadh/01/codeconf/FTMS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billetterie.accorarena.com/fr/manifestation/indochine-billet/idmanif/598643/codtypadh/FTT/numadh/01/codeconf/FTMS01?_gl=1%2A4dy5qn%2A_gcl_au%25" TargetMode="External"/><Relationship Id="rId2" Type="http://schemas.openxmlformats.org/officeDocument/2006/relationships/hyperlink" Target="https://billetterie.accorarena.com/fr/manifestation/indochine-billet/idmanif/598643/codtypadh/FTT/numadh/01/codeconf/FTMS01?_gl=1%2A4dy5qn%2A_gcl_au%25" TargetMode="External"/><Relationship Id="rId1" Type="http://schemas.openxmlformats.org/officeDocument/2006/relationships/hyperlink" Target="https://billetterie.accorarena.com/fr/manifestation/indochine-billet/idmanif/598643/codtypadh/FTT/numadh/01/codeconf/FTMS01?_gl=1%2A4dy5qn%2A_gcl_au%25"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billetterie.accorarena.com/fr/manifestation/nej-billet/idmanif/614062/idseance/4030496/codtypadh/FTT/numadh/01/codeconf/FTMS01?_gl=1%2Anfdq5h%2A_gcl_au%2AMTc0ODY2NzE4Mi4xNzUwNTk0NzY4LjcwOTcyMzE2Ny4xNzUwNjc2ODg5LjE3NTA2NzY4OTE." TargetMode="External"/><Relationship Id="rId1" Type="http://schemas.openxmlformats.org/officeDocument/2006/relationships/hyperlink" Target="https://billetterie.accorarena.com/fr/manifestation/nej-billet/idmanif/614062/idseance/4030496/codtypadh/FTT/numadh/01/codeconf/FTMS01?_gl=1%2Anfdq5h%2A_gcl_au%2AMTc0ODY2NzE4Mi4xNzUwNTk0NzY4LjcwOTcyMzE2Ny4xNzUwNjc2ODg5LjE3NTA2NzY4OTE."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billetterie.aegpresents.fr/fr/pack/package-vip-will-smith-billet/idpack/4459/codtypadh/PRM/numadh/01/codeconf/promo01/adhonly" TargetMode="External"/><Relationship Id="rId1" Type="http://schemas.openxmlformats.org/officeDocument/2006/relationships/hyperlink" Target="https://billetterie.aegpresents.fr/fr/liste/aeg-presents-billetterie/idlist/940/codtypadh/PRM/numadh/01/codeconf/promo01/adhonly"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olympiahall.com/plan-de-salle/yseult-1065735/11124147"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olympiahall.com/plan-de-salle/pit-baccardi-1055661/11068901"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olympiahall.com/plan-de-salle/gad-elmaleh-1049319/11017015" TargetMode="External"/><Relationship Id="rId1" Type="http://schemas.openxmlformats.org/officeDocument/2006/relationships/hyperlink" Target="https://www.olympiahall.com/plan-de-salle/pit-baccardi-1055661/11068901"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olympiahall.com/plan-de-salle/gad-elmaleh-1049319/11017015" TargetMode="External"/><Relationship Id="rId1" Type="http://schemas.openxmlformats.org/officeDocument/2006/relationships/hyperlink" Target="https://www.olympiahall.com/plan-de-salle/pit-baccardi-1055661/110689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view="pageBreakPreview" topLeftCell="B9" zoomScale="60" zoomScaleNormal="70" workbookViewId="0">
      <selection sqref="A1:XFD10"/>
    </sheetView>
  </sheetViews>
  <sheetFormatPr baseColWidth="10" defaultRowHeight="15" x14ac:dyDescent="0.25"/>
  <cols>
    <col min="2" max="2" width="37.42578125" customWidth="1"/>
    <col min="3" max="3" width="75.85546875" customWidth="1"/>
    <col min="4" max="4" width="47.140625" customWidth="1"/>
    <col min="5" max="5" width="37" customWidth="1"/>
    <col min="6" max="7" width="35.28515625" customWidth="1"/>
    <col min="8" max="8" width="38.42578125" customWidth="1"/>
    <col min="9" max="9" width="40.5703125" customWidth="1"/>
    <col min="10" max="10" width="39" customWidth="1"/>
  </cols>
  <sheetData>
    <row r="1" spans="1:10" ht="46.5" customHeight="1" x14ac:dyDescent="0.25">
      <c r="A1" s="62" t="s">
        <v>115</v>
      </c>
      <c r="B1" s="62"/>
      <c r="C1" s="62"/>
      <c r="D1" s="62"/>
      <c r="E1" s="62"/>
      <c r="F1" s="62"/>
      <c r="G1" s="62"/>
      <c r="H1" s="62"/>
      <c r="I1" s="62"/>
      <c r="J1" s="62"/>
    </row>
    <row r="2" spans="1:10" s="37" customFormat="1" ht="57.75" customHeight="1" x14ac:dyDescent="0.25">
      <c r="A2" s="70" t="s">
        <v>116</v>
      </c>
      <c r="B2" s="71"/>
      <c r="C2" s="71"/>
      <c r="D2" s="71"/>
      <c r="E2" s="71"/>
      <c r="F2" s="71"/>
      <c r="G2" s="71"/>
      <c r="H2" s="71"/>
      <c r="I2" s="71"/>
      <c r="J2" s="71"/>
    </row>
    <row r="3" spans="1:10" ht="86.25" customHeight="1" x14ac:dyDescent="0.25">
      <c r="A3" s="72" t="s">
        <v>0</v>
      </c>
      <c r="B3" s="72"/>
      <c r="C3" s="72"/>
      <c r="D3" s="72"/>
      <c r="E3" s="72"/>
      <c r="F3" s="72"/>
      <c r="G3" s="72"/>
      <c r="H3" s="72"/>
      <c r="I3" s="72"/>
      <c r="J3" s="72"/>
    </row>
    <row r="6" spans="1:10" ht="15" customHeight="1" x14ac:dyDescent="0.25">
      <c r="A6" s="63" t="s">
        <v>1</v>
      </c>
      <c r="B6" s="64" t="s">
        <v>2</v>
      </c>
      <c r="C6" s="63" t="s">
        <v>3</v>
      </c>
      <c r="D6" s="63" t="s">
        <v>4</v>
      </c>
      <c r="E6" s="63"/>
      <c r="F6" s="67" t="s">
        <v>5</v>
      </c>
      <c r="G6" s="73" t="s">
        <v>117</v>
      </c>
      <c r="H6" s="68" t="s">
        <v>6</v>
      </c>
      <c r="I6" s="69" t="s">
        <v>120</v>
      </c>
      <c r="J6" s="63" t="s">
        <v>8</v>
      </c>
    </row>
    <row r="7" spans="1:10" ht="15" customHeight="1" x14ac:dyDescent="0.25">
      <c r="A7" s="63"/>
      <c r="B7" s="65"/>
      <c r="C7" s="63"/>
      <c r="D7" s="63"/>
      <c r="E7" s="63"/>
      <c r="F7" s="67"/>
      <c r="G7" s="74"/>
      <c r="H7" s="68"/>
      <c r="I7" s="69"/>
      <c r="J7" s="63"/>
    </row>
    <row r="8" spans="1:10" s="5" customFormat="1" ht="81" customHeight="1" x14ac:dyDescent="0.4">
      <c r="A8" s="63"/>
      <c r="B8" s="66"/>
      <c r="C8" s="63"/>
      <c r="D8" s="3" t="s">
        <v>9</v>
      </c>
      <c r="E8" s="4" t="s">
        <v>10</v>
      </c>
      <c r="F8" s="67"/>
      <c r="G8" s="75"/>
      <c r="H8" s="68"/>
      <c r="I8" s="69"/>
      <c r="J8" s="63"/>
    </row>
    <row r="9" spans="1:10" s="5" customFormat="1" ht="298.5" customHeight="1" x14ac:dyDescent="0.4">
      <c r="A9" s="4">
        <v>1</v>
      </c>
      <c r="B9" s="6" t="s">
        <v>12</v>
      </c>
      <c r="C9" s="7" t="s">
        <v>13</v>
      </c>
      <c r="D9" s="8" t="s">
        <v>16</v>
      </c>
      <c r="E9" s="9">
        <v>239100</v>
      </c>
      <c r="F9" s="45">
        <v>0.3</v>
      </c>
      <c r="G9" s="44">
        <f>E9*F9</f>
        <v>71730</v>
      </c>
      <c r="H9" s="48">
        <f>G9+E9</f>
        <v>310830</v>
      </c>
      <c r="I9" s="26" t="s">
        <v>18</v>
      </c>
      <c r="J9" s="9" t="s">
        <v>11</v>
      </c>
    </row>
    <row r="10" spans="1:10" s="5" customFormat="1" ht="160.5" customHeight="1" x14ac:dyDescent="0.4">
      <c r="A10" s="4">
        <v>2</v>
      </c>
      <c r="B10" s="13" t="s">
        <v>14</v>
      </c>
      <c r="C10" s="7" t="s">
        <v>15</v>
      </c>
      <c r="D10" s="14" t="s">
        <v>17</v>
      </c>
      <c r="E10" s="15">
        <v>203020</v>
      </c>
      <c r="F10" s="56">
        <v>0.3</v>
      </c>
      <c r="G10" s="57">
        <f>E10*F10</f>
        <v>60906</v>
      </c>
      <c r="H10" s="54">
        <f>E10+G10</f>
        <v>263926</v>
      </c>
      <c r="I10" s="26" t="s">
        <v>18</v>
      </c>
      <c r="J10" s="9" t="s">
        <v>11</v>
      </c>
    </row>
    <row r="11" spans="1:10" s="5" customFormat="1" ht="61.5" customHeight="1" x14ac:dyDescent="0.4">
      <c r="A11" s="18"/>
      <c r="B11" s="19"/>
      <c r="C11" s="20"/>
      <c r="D11" s="21"/>
      <c r="E11" s="22"/>
      <c r="F11" s="23"/>
      <c r="G11" s="23"/>
      <c r="H11" s="24"/>
      <c r="I11" s="25"/>
      <c r="J11" s="21"/>
    </row>
  </sheetData>
  <mergeCells count="12">
    <mergeCell ref="A1:J1"/>
    <mergeCell ref="A6:A8"/>
    <mergeCell ref="B6:B8"/>
    <mergeCell ref="C6:C8"/>
    <mergeCell ref="D6:E7"/>
    <mergeCell ref="F6:F8"/>
    <mergeCell ref="H6:H8"/>
    <mergeCell ref="I6:I8"/>
    <mergeCell ref="J6:J8"/>
    <mergeCell ref="A2:J2"/>
    <mergeCell ref="A3:J3"/>
    <mergeCell ref="G6:G8"/>
  </mergeCells>
  <pageMargins left="0.7" right="0.7" top="0.75" bottom="0.75" header="0.3" footer="0.3"/>
  <pageSetup paperSize="9" scale="3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view="pageBreakPreview" topLeftCell="A11" zoomScale="60" zoomScaleNormal="50" workbookViewId="0">
      <selection sqref="A1:XFD11"/>
    </sheetView>
  </sheetViews>
  <sheetFormatPr baseColWidth="10" defaultRowHeight="15" x14ac:dyDescent="0.25"/>
  <cols>
    <col min="2" max="2" width="34" customWidth="1"/>
    <col min="3" max="3" width="115.5703125" customWidth="1"/>
    <col min="4" max="4" width="39.7109375" customWidth="1"/>
    <col min="5" max="5" width="38.28515625" customWidth="1"/>
    <col min="6" max="7" width="40.42578125" customWidth="1"/>
    <col min="8" max="8" width="34.7109375" customWidth="1"/>
    <col min="9" max="9" width="36" customWidth="1"/>
    <col min="10" max="10" width="45.42578125" customWidth="1"/>
  </cols>
  <sheetData>
    <row r="1" spans="1:10" ht="90" customHeight="1" x14ac:dyDescent="0.25">
      <c r="A1" s="76" t="s">
        <v>118</v>
      </c>
      <c r="B1" s="76"/>
      <c r="C1" s="76"/>
      <c r="D1" s="76"/>
      <c r="E1" s="76"/>
      <c r="F1" s="76"/>
      <c r="G1" s="76"/>
      <c r="H1" s="76"/>
      <c r="I1" s="76"/>
      <c r="J1" s="76"/>
    </row>
    <row r="2" spans="1:10" ht="60.75" customHeight="1" x14ac:dyDescent="0.25">
      <c r="A2" s="70" t="s">
        <v>119</v>
      </c>
      <c r="B2" s="70"/>
      <c r="C2" s="70"/>
      <c r="D2" s="70"/>
      <c r="E2" s="70"/>
      <c r="F2" s="70"/>
      <c r="G2" s="70"/>
      <c r="H2" s="70"/>
      <c r="I2" s="70"/>
      <c r="J2" s="70"/>
    </row>
    <row r="3" spans="1:10" ht="68.25" customHeight="1" x14ac:dyDescent="0.25">
      <c r="A3" s="78" t="s">
        <v>0</v>
      </c>
      <c r="B3" s="78"/>
      <c r="C3" s="78"/>
      <c r="D3" s="78"/>
      <c r="E3" s="78"/>
      <c r="F3" s="78"/>
      <c r="G3" s="78"/>
      <c r="H3" s="78"/>
      <c r="I3" s="78"/>
      <c r="J3" s="78"/>
    </row>
    <row r="4" spans="1:10" ht="33" customHeight="1" x14ac:dyDescent="0.25"/>
    <row r="5" spans="1:10" ht="33.75" customHeight="1" x14ac:dyDescent="0.25"/>
    <row r="6" spans="1:10" ht="42" customHeight="1" x14ac:dyDescent="0.25">
      <c r="A6" s="63" t="s">
        <v>1</v>
      </c>
      <c r="B6" s="64" t="s">
        <v>2</v>
      </c>
      <c r="C6" s="63" t="s">
        <v>3</v>
      </c>
      <c r="D6" s="63" t="s">
        <v>4</v>
      </c>
      <c r="E6" s="63"/>
      <c r="F6" s="67" t="s">
        <v>5</v>
      </c>
      <c r="G6" s="79" t="s">
        <v>117</v>
      </c>
      <c r="H6" s="77" t="s">
        <v>6</v>
      </c>
      <c r="I6" s="69" t="s">
        <v>120</v>
      </c>
      <c r="J6" s="63" t="s">
        <v>8</v>
      </c>
    </row>
    <row r="7" spans="1:10" ht="56.25" customHeight="1" x14ac:dyDescent="0.25">
      <c r="A7" s="63"/>
      <c r="B7" s="65"/>
      <c r="C7" s="63"/>
      <c r="D7" s="63"/>
      <c r="E7" s="63"/>
      <c r="F7" s="67"/>
      <c r="G7" s="80"/>
      <c r="H7" s="77"/>
      <c r="I7" s="69"/>
      <c r="J7" s="63"/>
    </row>
    <row r="8" spans="1:10" s="5" customFormat="1" ht="46.5" customHeight="1" x14ac:dyDescent="0.4">
      <c r="A8" s="63"/>
      <c r="B8" s="66"/>
      <c r="C8" s="63"/>
      <c r="D8" s="3" t="s">
        <v>9</v>
      </c>
      <c r="E8" s="4" t="s">
        <v>10</v>
      </c>
      <c r="F8" s="67"/>
      <c r="G8" s="81"/>
      <c r="H8" s="77"/>
      <c r="I8" s="69"/>
      <c r="J8" s="63"/>
    </row>
    <row r="9" spans="1:10" s="5" customFormat="1" ht="387.75" customHeight="1" x14ac:dyDescent="0.4">
      <c r="A9" s="4">
        <v>1</v>
      </c>
      <c r="B9" s="6" t="s">
        <v>19</v>
      </c>
      <c r="C9" s="7" t="s">
        <v>20</v>
      </c>
      <c r="D9" s="8" t="s">
        <v>25</v>
      </c>
      <c r="E9" s="9">
        <v>199410</v>
      </c>
      <c r="F9" s="45">
        <v>0.3</v>
      </c>
      <c r="G9" s="43">
        <f>E9*F9</f>
        <v>59823</v>
      </c>
      <c r="H9" s="46">
        <f>E9+G9</f>
        <v>259233</v>
      </c>
      <c r="I9" s="26" t="s">
        <v>28</v>
      </c>
      <c r="J9" s="9" t="s">
        <v>11</v>
      </c>
    </row>
    <row r="10" spans="1:10" s="30" customFormat="1" ht="387.75" customHeight="1" x14ac:dyDescent="0.5">
      <c r="A10" s="4">
        <v>2</v>
      </c>
      <c r="B10" s="16" t="s">
        <v>21</v>
      </c>
      <c r="C10" s="28" t="s">
        <v>22</v>
      </c>
      <c r="D10" s="9" t="s">
        <v>26</v>
      </c>
      <c r="E10" s="17">
        <v>112825</v>
      </c>
      <c r="F10" s="45">
        <v>0.3</v>
      </c>
      <c r="G10" s="43">
        <f>E10*F10</f>
        <v>33847.5</v>
      </c>
      <c r="H10" s="47">
        <f>E10+G10</f>
        <v>146672.5</v>
      </c>
      <c r="I10" s="12" t="s">
        <v>28</v>
      </c>
      <c r="J10" s="9" t="s">
        <v>11</v>
      </c>
    </row>
    <row r="11" spans="1:10" s="5" customFormat="1" ht="275.25" customHeight="1" x14ac:dyDescent="0.4">
      <c r="A11" s="4">
        <v>3</v>
      </c>
      <c r="B11" s="16" t="s">
        <v>23</v>
      </c>
      <c r="C11" s="27" t="s">
        <v>24</v>
      </c>
      <c r="D11" s="11" t="s">
        <v>27</v>
      </c>
      <c r="E11" s="15">
        <v>127255</v>
      </c>
      <c r="F11" s="56">
        <v>0.3</v>
      </c>
      <c r="G11" s="55">
        <f>E11*F11</f>
        <v>38176.5</v>
      </c>
      <c r="H11" s="53">
        <v>139980</v>
      </c>
      <c r="I11" s="11" t="s">
        <v>28</v>
      </c>
      <c r="J11" s="14" t="s">
        <v>11</v>
      </c>
    </row>
    <row r="12" spans="1:10" x14ac:dyDescent="0.25">
      <c r="G12" s="41"/>
    </row>
  </sheetData>
  <mergeCells count="12">
    <mergeCell ref="A1:J1"/>
    <mergeCell ref="A6:A8"/>
    <mergeCell ref="B6:B8"/>
    <mergeCell ref="C6:C8"/>
    <mergeCell ref="D6:E7"/>
    <mergeCell ref="F6:F8"/>
    <mergeCell ref="H6:H8"/>
    <mergeCell ref="I6:I8"/>
    <mergeCell ref="J6:J8"/>
    <mergeCell ref="A2:J2"/>
    <mergeCell ref="A3:J3"/>
    <mergeCell ref="G6:G8"/>
  </mergeCells>
  <pageMargins left="0.7" right="0.7" top="0.75" bottom="0.75" header="0.3" footer="0.3"/>
  <pageSetup paperSize="9" scale="3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tabSelected="1" view="pageBreakPreview" topLeftCell="A11" zoomScale="40" zoomScaleNormal="80" zoomScaleSheetLayoutView="40" workbookViewId="0">
      <selection sqref="A1:XFD12"/>
    </sheetView>
  </sheetViews>
  <sheetFormatPr baseColWidth="10" defaultRowHeight="15" x14ac:dyDescent="0.25"/>
  <cols>
    <col min="2" max="2" width="34.140625" customWidth="1"/>
    <col min="3" max="3" width="70.28515625" customWidth="1"/>
    <col min="4" max="4" width="42.5703125" customWidth="1"/>
    <col min="5" max="5" width="37.5703125" customWidth="1"/>
    <col min="6" max="7" width="34.85546875" customWidth="1"/>
    <col min="8" max="8" width="32.28515625" customWidth="1"/>
    <col min="9" max="9" width="41.140625" customWidth="1"/>
    <col min="10" max="10" width="42" customWidth="1"/>
  </cols>
  <sheetData>
    <row r="1" spans="1:10" ht="46.5" customHeight="1" x14ac:dyDescent="0.25">
      <c r="A1" s="82" t="s">
        <v>121</v>
      </c>
      <c r="B1" s="82"/>
      <c r="C1" s="82"/>
      <c r="D1" s="82"/>
      <c r="E1" s="82"/>
      <c r="F1" s="82"/>
      <c r="G1" s="82"/>
      <c r="H1" s="82"/>
      <c r="I1" s="82"/>
      <c r="J1" s="82"/>
    </row>
    <row r="2" spans="1:10" ht="60.75" x14ac:dyDescent="0.8">
      <c r="A2" s="83" t="s">
        <v>122</v>
      </c>
      <c r="B2" s="83"/>
      <c r="C2" s="83"/>
      <c r="D2" s="83"/>
      <c r="E2" s="83"/>
      <c r="F2" s="83"/>
      <c r="G2" s="83"/>
      <c r="H2" s="83"/>
      <c r="I2" s="83"/>
      <c r="J2" s="83"/>
    </row>
    <row r="3" spans="1:10" ht="62.25" customHeight="1" x14ac:dyDescent="0.25">
      <c r="A3" s="72" t="s">
        <v>0</v>
      </c>
      <c r="B3" s="72"/>
      <c r="C3" s="72"/>
      <c r="D3" s="72"/>
      <c r="E3" s="72"/>
      <c r="F3" s="72"/>
      <c r="G3" s="72"/>
      <c r="H3" s="72"/>
      <c r="I3" s="72"/>
      <c r="J3" s="72"/>
    </row>
    <row r="6" spans="1:10" ht="15" customHeight="1" x14ac:dyDescent="0.25">
      <c r="A6" s="63" t="s">
        <v>1</v>
      </c>
      <c r="B6" s="64" t="s">
        <v>2</v>
      </c>
      <c r="C6" s="63" t="s">
        <v>3</v>
      </c>
      <c r="D6" s="63" t="s">
        <v>4</v>
      </c>
      <c r="E6" s="63"/>
      <c r="F6" s="67" t="s">
        <v>5</v>
      </c>
      <c r="G6" s="79" t="s">
        <v>117</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283.5" customHeight="1" x14ac:dyDescent="0.4">
      <c r="A9" s="4">
        <v>1</v>
      </c>
      <c r="B9" s="6" t="s">
        <v>29</v>
      </c>
      <c r="C9" s="11" t="s">
        <v>37</v>
      </c>
      <c r="D9" s="8" t="s">
        <v>33</v>
      </c>
      <c r="E9" s="9">
        <v>364060</v>
      </c>
      <c r="F9" s="45">
        <v>0.3</v>
      </c>
      <c r="G9" s="43">
        <f>E9*F9</f>
        <v>109218</v>
      </c>
      <c r="H9" s="52">
        <f>E9+G9</f>
        <v>473278</v>
      </c>
      <c r="I9" s="26" t="s">
        <v>38</v>
      </c>
      <c r="J9" s="9" t="s">
        <v>11</v>
      </c>
    </row>
    <row r="10" spans="1:10" s="30" customFormat="1" ht="325.5" customHeight="1" x14ac:dyDescent="0.5">
      <c r="A10" s="4">
        <v>2</v>
      </c>
      <c r="B10" s="16" t="s">
        <v>30</v>
      </c>
      <c r="C10" s="12" t="s">
        <v>37</v>
      </c>
      <c r="D10" s="9" t="s">
        <v>34</v>
      </c>
      <c r="E10" s="17">
        <v>357500</v>
      </c>
      <c r="F10" s="45">
        <v>0.3</v>
      </c>
      <c r="G10" s="43">
        <f>E10*F10</f>
        <v>107250</v>
      </c>
      <c r="H10" s="47">
        <f>G10+E10</f>
        <v>464750</v>
      </c>
      <c r="I10" s="26" t="s">
        <v>38</v>
      </c>
      <c r="J10" s="9" t="s">
        <v>11</v>
      </c>
    </row>
    <row r="11" spans="1:10" s="30" customFormat="1" ht="325.5" customHeight="1" x14ac:dyDescent="0.5">
      <c r="A11" s="4">
        <v>3</v>
      </c>
      <c r="B11" s="16" t="s">
        <v>31</v>
      </c>
      <c r="C11" s="12" t="s">
        <v>37</v>
      </c>
      <c r="D11" s="9" t="s">
        <v>35</v>
      </c>
      <c r="E11" s="17">
        <v>350940</v>
      </c>
      <c r="F11" s="45">
        <v>0.3</v>
      </c>
      <c r="G11" s="43">
        <f>E11*F11</f>
        <v>105282</v>
      </c>
      <c r="H11" s="47">
        <f>G11+E11</f>
        <v>456222</v>
      </c>
      <c r="I11" s="26" t="s">
        <v>38</v>
      </c>
      <c r="J11" s="9" t="s">
        <v>11</v>
      </c>
    </row>
    <row r="12" spans="1:10" s="30" customFormat="1" ht="325.5" customHeight="1" x14ac:dyDescent="0.5">
      <c r="A12" s="4">
        <v>4</v>
      </c>
      <c r="B12" s="16" t="s">
        <v>32</v>
      </c>
      <c r="C12" s="12" t="s">
        <v>37</v>
      </c>
      <c r="D12" s="9" t="s">
        <v>36</v>
      </c>
      <c r="E12" s="17">
        <v>344380</v>
      </c>
      <c r="F12" s="45">
        <v>0.3</v>
      </c>
      <c r="G12" s="43">
        <f>E12*F12</f>
        <v>103314</v>
      </c>
      <c r="H12" s="47">
        <f>G12+E12</f>
        <v>447694</v>
      </c>
      <c r="I12" s="26" t="s">
        <v>38</v>
      </c>
      <c r="J12"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9" r:id="rId1"/>
    <hyperlink ref="I10" r:id="rId2"/>
    <hyperlink ref="I11" r:id="rId3"/>
    <hyperlink ref="I12" r:id="rId4"/>
  </hyperlinks>
  <pageMargins left="0.7" right="0.7" top="0.75" bottom="0.75" header="0.3" footer="0.3"/>
  <pageSetup paperSize="9" scale="31"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view="pageBreakPreview" topLeftCell="A7" zoomScale="60" zoomScaleNormal="80" workbookViewId="0">
      <selection activeCell="G9" sqref="G9"/>
    </sheetView>
  </sheetViews>
  <sheetFormatPr baseColWidth="10" defaultRowHeight="15" x14ac:dyDescent="0.25"/>
  <cols>
    <col min="2" max="2" width="35.85546875" customWidth="1"/>
    <col min="3" max="3" width="45.85546875" customWidth="1"/>
    <col min="4" max="4" width="43.140625" customWidth="1"/>
    <col min="5" max="5" width="37.85546875" customWidth="1"/>
    <col min="6" max="7" width="29.7109375" customWidth="1"/>
    <col min="8" max="8" width="35.28515625" customWidth="1"/>
    <col min="9" max="9" width="45.5703125" customWidth="1"/>
    <col min="10" max="10" width="40.42578125" customWidth="1"/>
  </cols>
  <sheetData>
    <row r="1" spans="1:10" ht="46.5" customHeight="1" x14ac:dyDescent="0.25">
      <c r="A1" s="84" t="s">
        <v>123</v>
      </c>
      <c r="B1" s="84"/>
      <c r="C1" s="84"/>
      <c r="D1" s="84"/>
      <c r="E1" s="84"/>
      <c r="F1" s="84"/>
      <c r="G1" s="84"/>
      <c r="H1" s="84"/>
      <c r="I1" s="84"/>
      <c r="J1" s="84"/>
    </row>
    <row r="2" spans="1:10" ht="60.75" x14ac:dyDescent="0.8">
      <c r="A2" s="85" t="s">
        <v>124</v>
      </c>
      <c r="B2" s="85"/>
      <c r="C2" s="85"/>
      <c r="D2" s="85"/>
      <c r="E2" s="85"/>
      <c r="F2" s="85"/>
      <c r="G2" s="85"/>
      <c r="H2" s="85"/>
      <c r="I2" s="85"/>
      <c r="J2" s="85"/>
    </row>
    <row r="3" spans="1:10" ht="50.25" customHeight="1" x14ac:dyDescent="0.25">
      <c r="A3" s="86" t="s">
        <v>59</v>
      </c>
      <c r="B3" s="86"/>
      <c r="C3" s="86"/>
      <c r="D3" s="86"/>
      <c r="E3" s="86"/>
      <c r="F3" s="86"/>
      <c r="G3" s="86"/>
      <c r="H3" s="86"/>
      <c r="I3" s="86"/>
      <c r="J3" s="86"/>
    </row>
    <row r="6" spans="1:10" ht="15" customHeight="1" x14ac:dyDescent="0.25">
      <c r="A6" s="63" t="s">
        <v>1</v>
      </c>
      <c r="B6" s="64" t="s">
        <v>2</v>
      </c>
      <c r="C6" s="63" t="s">
        <v>3</v>
      </c>
      <c r="D6" s="63" t="s">
        <v>4</v>
      </c>
      <c r="E6" s="63"/>
      <c r="F6" s="67" t="s">
        <v>5</v>
      </c>
      <c r="G6" s="79" t="s">
        <v>117</v>
      </c>
      <c r="H6" s="68" t="s">
        <v>6</v>
      </c>
      <c r="I6" s="63" t="s">
        <v>7</v>
      </c>
      <c r="J6" s="63" t="s">
        <v>8</v>
      </c>
    </row>
    <row r="7" spans="1:10" ht="15" customHeight="1" x14ac:dyDescent="0.25">
      <c r="A7" s="63"/>
      <c r="B7" s="65"/>
      <c r="C7" s="63"/>
      <c r="D7" s="63"/>
      <c r="E7" s="63"/>
      <c r="F7" s="67"/>
      <c r="G7" s="80"/>
      <c r="H7" s="68"/>
      <c r="I7" s="63"/>
      <c r="J7" s="63"/>
    </row>
    <row r="8" spans="1:10" s="5" customFormat="1" ht="81" customHeight="1" x14ac:dyDescent="0.4">
      <c r="A8" s="63"/>
      <c r="B8" s="66"/>
      <c r="C8" s="63"/>
      <c r="D8" s="3" t="s">
        <v>9</v>
      </c>
      <c r="E8" s="4" t="s">
        <v>10</v>
      </c>
      <c r="F8" s="67"/>
      <c r="G8" s="81"/>
      <c r="H8" s="68"/>
      <c r="I8" s="63"/>
      <c r="J8" s="63"/>
    </row>
    <row r="9" spans="1:10" s="5" customFormat="1" ht="283.5" customHeight="1" x14ac:dyDescent="0.4">
      <c r="A9" s="4">
        <v>1</v>
      </c>
      <c r="B9" s="6" t="s">
        <v>39</v>
      </c>
      <c r="C9" s="11" t="s">
        <v>37</v>
      </c>
      <c r="D9" s="8" t="s">
        <v>40</v>
      </c>
      <c r="E9" s="9">
        <v>54445</v>
      </c>
      <c r="F9" s="45">
        <v>0.3</v>
      </c>
      <c r="G9" s="43">
        <f>E9*F9</f>
        <v>16333.5</v>
      </c>
      <c r="H9" s="51">
        <f>E9+G9</f>
        <v>70778.5</v>
      </c>
      <c r="I9" s="26" t="s">
        <v>38</v>
      </c>
      <c r="J9" s="9" t="s">
        <v>11</v>
      </c>
    </row>
    <row r="10" spans="1:10" s="30" customFormat="1" ht="325.5" customHeight="1" x14ac:dyDescent="0.5">
      <c r="A10" s="4">
        <v>2</v>
      </c>
      <c r="B10" s="16" t="s">
        <v>41</v>
      </c>
      <c r="C10" s="12" t="s">
        <v>37</v>
      </c>
      <c r="D10" s="9" t="s">
        <v>42</v>
      </c>
      <c r="E10" s="17">
        <v>49795</v>
      </c>
      <c r="F10" s="45">
        <v>0.3</v>
      </c>
      <c r="G10" s="43">
        <f>E10*F10</f>
        <v>14938.5</v>
      </c>
      <c r="H10" s="50">
        <f>E10+G10</f>
        <v>64733.5</v>
      </c>
      <c r="I10" s="26" t="s">
        <v>38</v>
      </c>
      <c r="J10" s="9" t="s">
        <v>11</v>
      </c>
    </row>
    <row r="11" spans="1:10" s="30" customFormat="1" ht="325.5" customHeight="1" x14ac:dyDescent="0.5">
      <c r="A11" s="4">
        <v>3</v>
      </c>
      <c r="B11" s="16" t="s">
        <v>43</v>
      </c>
      <c r="C11" s="12" t="s">
        <v>37</v>
      </c>
      <c r="D11" s="9" t="s">
        <v>44</v>
      </c>
      <c r="E11" s="17">
        <v>38705</v>
      </c>
      <c r="F11" s="45">
        <v>0.3</v>
      </c>
      <c r="G11" s="43">
        <f>E11*F11</f>
        <v>11611.5</v>
      </c>
      <c r="H11" s="49">
        <f>E11+G11</f>
        <v>50316.5</v>
      </c>
      <c r="I11" s="26" t="s">
        <v>38</v>
      </c>
      <c r="J11"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9" r:id="rId1"/>
    <hyperlink ref="I10" r:id="rId2"/>
    <hyperlink ref="I11" r:id="rId3"/>
  </hyperlinks>
  <pageMargins left="0.7" right="0.7" top="0.75" bottom="0.75" header="0.3" footer="0.3"/>
  <pageSetup paperSize="9" scale="36" orientation="landscap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view="pageBreakPreview" zoomScale="60" zoomScaleNormal="60" workbookViewId="0">
      <selection activeCell="H9" sqref="H9"/>
    </sheetView>
  </sheetViews>
  <sheetFormatPr baseColWidth="10" defaultRowHeight="15" x14ac:dyDescent="0.25"/>
  <cols>
    <col min="1" max="1" width="19" customWidth="1"/>
    <col min="2" max="2" width="32.7109375" customWidth="1"/>
    <col min="3" max="3" width="48.5703125" customWidth="1"/>
    <col min="4" max="4" width="36.42578125" customWidth="1"/>
    <col min="5" max="5" width="32.5703125" customWidth="1"/>
    <col min="6" max="8" width="37.42578125" customWidth="1"/>
    <col min="9" max="9" width="35.28515625" customWidth="1"/>
    <col min="10" max="10" width="41.7109375" customWidth="1"/>
  </cols>
  <sheetData>
    <row r="1" spans="1:10" ht="46.5" customHeight="1" x14ac:dyDescent="0.25">
      <c r="A1" s="87" t="s">
        <v>126</v>
      </c>
      <c r="B1" s="87"/>
      <c r="C1" s="87"/>
      <c r="D1" s="87"/>
      <c r="E1" s="87"/>
      <c r="F1" s="87"/>
      <c r="G1" s="87"/>
      <c r="H1" s="87"/>
      <c r="I1" s="87"/>
      <c r="J1" s="87"/>
    </row>
    <row r="2" spans="1:10" ht="60.75" x14ac:dyDescent="0.8">
      <c r="A2" s="88" t="s">
        <v>127</v>
      </c>
      <c r="B2" s="88"/>
      <c r="C2" s="88"/>
      <c r="D2" s="88"/>
      <c r="E2" s="88"/>
      <c r="F2" s="88"/>
      <c r="G2" s="88"/>
      <c r="H2" s="88"/>
      <c r="I2" s="88"/>
      <c r="J2" s="88"/>
    </row>
    <row r="3" spans="1:10" ht="60.75" customHeight="1" x14ac:dyDescent="0.25">
      <c r="A3" s="89" t="s">
        <v>58</v>
      </c>
      <c r="B3" s="89"/>
      <c r="C3" s="89"/>
      <c r="D3" s="89"/>
      <c r="E3" s="89"/>
      <c r="F3" s="89"/>
      <c r="G3" s="89"/>
      <c r="H3" s="89"/>
      <c r="I3" s="89"/>
      <c r="J3" s="89"/>
    </row>
    <row r="6" spans="1:10" ht="15" customHeight="1" x14ac:dyDescent="0.25">
      <c r="A6" s="63" t="s">
        <v>1</v>
      </c>
      <c r="B6" s="64" t="s">
        <v>2</v>
      </c>
      <c r="C6" s="63" t="s">
        <v>3</v>
      </c>
      <c r="D6" s="63" t="s">
        <v>4</v>
      </c>
      <c r="E6" s="63"/>
      <c r="F6" s="67" t="s">
        <v>5</v>
      </c>
      <c r="G6" s="73" t="s">
        <v>125</v>
      </c>
      <c r="H6" s="68" t="s">
        <v>6</v>
      </c>
      <c r="I6" s="63" t="s">
        <v>7</v>
      </c>
      <c r="J6" s="63" t="s">
        <v>8</v>
      </c>
    </row>
    <row r="7" spans="1:10" ht="15" customHeight="1" x14ac:dyDescent="0.25">
      <c r="A7" s="63"/>
      <c r="B7" s="65"/>
      <c r="C7" s="63"/>
      <c r="D7" s="63"/>
      <c r="E7" s="63"/>
      <c r="F7" s="67"/>
      <c r="G7" s="74"/>
      <c r="H7" s="68"/>
      <c r="I7" s="63"/>
      <c r="J7" s="63"/>
    </row>
    <row r="8" spans="1:10" s="5" customFormat="1" ht="81" customHeight="1" x14ac:dyDescent="0.4">
      <c r="A8" s="63"/>
      <c r="B8" s="66"/>
      <c r="C8" s="63"/>
      <c r="D8" s="3" t="s">
        <v>9</v>
      </c>
      <c r="E8" s="4" t="s">
        <v>10</v>
      </c>
      <c r="F8" s="67"/>
      <c r="G8" s="75"/>
      <c r="H8" s="68"/>
      <c r="I8" s="63"/>
      <c r="J8" s="63"/>
    </row>
    <row r="9" spans="1:10" s="5" customFormat="1" ht="283.5" customHeight="1" x14ac:dyDescent="0.4">
      <c r="A9" s="4">
        <v>1</v>
      </c>
      <c r="B9" s="6" t="s">
        <v>45</v>
      </c>
      <c r="C9" s="11" t="s">
        <v>37</v>
      </c>
      <c r="D9" s="8" t="s">
        <v>46</v>
      </c>
      <c r="E9" s="29">
        <v>86130</v>
      </c>
      <c r="F9" s="45">
        <v>0.3</v>
      </c>
      <c r="G9" s="44">
        <f>E9*F9</f>
        <v>25839</v>
      </c>
      <c r="H9" s="48">
        <f>E9+G9</f>
        <v>111969</v>
      </c>
      <c r="I9" s="26" t="s">
        <v>53</v>
      </c>
      <c r="J9" s="9" t="s">
        <v>11</v>
      </c>
    </row>
    <row r="10" spans="1:10" s="30" customFormat="1" ht="325.5" customHeight="1" x14ac:dyDescent="0.5">
      <c r="A10" s="4">
        <v>2</v>
      </c>
      <c r="B10" s="16" t="s">
        <v>47</v>
      </c>
      <c r="C10" s="12" t="s">
        <v>37</v>
      </c>
      <c r="D10" s="9" t="s">
        <v>46</v>
      </c>
      <c r="E10" s="17">
        <v>86130</v>
      </c>
      <c r="F10" s="45">
        <v>0.3</v>
      </c>
      <c r="G10" s="44">
        <f>E10*F10</f>
        <v>25839</v>
      </c>
      <c r="H10" s="49">
        <f>E10+G10</f>
        <v>111969</v>
      </c>
      <c r="I10" s="26" t="s">
        <v>53</v>
      </c>
      <c r="J10" s="9" t="s">
        <v>11</v>
      </c>
    </row>
    <row r="11" spans="1:10" s="30" customFormat="1" ht="174.75" customHeight="1" x14ac:dyDescent="0.5">
      <c r="A11" s="4">
        <v>3</v>
      </c>
      <c r="B11" s="16" t="s">
        <v>39</v>
      </c>
      <c r="C11" s="12" t="s">
        <v>37</v>
      </c>
      <c r="D11" s="9" t="s">
        <v>48</v>
      </c>
      <c r="E11" s="17">
        <v>68810</v>
      </c>
      <c r="F11" s="45">
        <v>0.3</v>
      </c>
      <c r="G11" s="44">
        <f>E11*F11</f>
        <v>20643</v>
      </c>
      <c r="H11" s="49">
        <f>E11+G11</f>
        <v>89453</v>
      </c>
      <c r="I11" s="26" t="s">
        <v>53</v>
      </c>
      <c r="J11" s="9" t="s">
        <v>11</v>
      </c>
    </row>
    <row r="12" spans="1:10" s="30" customFormat="1" ht="167.25" customHeight="1" x14ac:dyDescent="0.5">
      <c r="A12" s="4">
        <v>4</v>
      </c>
      <c r="B12" s="16" t="s">
        <v>49</v>
      </c>
      <c r="C12" s="12" t="s">
        <v>37</v>
      </c>
      <c r="D12" s="9" t="s">
        <v>50</v>
      </c>
      <c r="E12" s="17">
        <v>56545</v>
      </c>
      <c r="F12" s="45">
        <v>0.3</v>
      </c>
      <c r="G12" s="44">
        <f>E12*F12</f>
        <v>16963.5</v>
      </c>
      <c r="H12" s="49">
        <f>E12+G12</f>
        <v>73508.5</v>
      </c>
      <c r="I12" s="26" t="s">
        <v>53</v>
      </c>
      <c r="J12" s="9" t="s">
        <v>11</v>
      </c>
    </row>
    <row r="13" spans="1:10" s="30" customFormat="1" ht="181.5" customHeight="1" x14ac:dyDescent="0.5">
      <c r="A13" s="4">
        <v>5</v>
      </c>
      <c r="B13" s="16" t="s">
        <v>51</v>
      </c>
      <c r="C13" s="12" t="s">
        <v>37</v>
      </c>
      <c r="D13" s="9" t="s">
        <v>52</v>
      </c>
      <c r="E13" s="17">
        <v>42835</v>
      </c>
      <c r="F13" s="45">
        <v>0.3</v>
      </c>
      <c r="G13" s="44">
        <f>E13*F13</f>
        <v>12850.5</v>
      </c>
      <c r="H13" s="49">
        <f>E13+G13</f>
        <v>55685.5</v>
      </c>
      <c r="I13" s="26" t="s">
        <v>53</v>
      </c>
      <c r="J13"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13" r:id="rId1"/>
    <hyperlink ref="I11" r:id="rId2"/>
    <hyperlink ref="I10" r:id="rId3"/>
  </hyperlinks>
  <pageMargins left="0.7" right="0.7" top="0.75" bottom="0.75" header="0.3" footer="0.3"/>
  <pageSetup paperSize="9" scale="34"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view="pageBreakPreview" zoomScale="60" zoomScaleNormal="60" workbookViewId="0">
      <selection activeCell="F11" sqref="F6:F11"/>
    </sheetView>
  </sheetViews>
  <sheetFormatPr baseColWidth="10" defaultRowHeight="15" x14ac:dyDescent="0.25"/>
  <cols>
    <col min="2" max="2" width="39.7109375" customWidth="1"/>
    <col min="3" max="3" width="59.140625" customWidth="1"/>
    <col min="4" max="4" width="34.5703125" customWidth="1"/>
    <col min="5" max="5" width="36.42578125" customWidth="1"/>
    <col min="6" max="7" width="38.85546875" customWidth="1"/>
    <col min="8" max="8" width="37.5703125" customWidth="1"/>
    <col min="9" max="9" width="39.85546875" customWidth="1"/>
    <col min="10" max="10" width="39.7109375" customWidth="1"/>
  </cols>
  <sheetData>
    <row r="1" spans="1:10" ht="46.5" customHeight="1" x14ac:dyDescent="0.25">
      <c r="A1" s="87" t="s">
        <v>57</v>
      </c>
      <c r="B1" s="87"/>
      <c r="C1" s="87"/>
      <c r="D1" s="87"/>
      <c r="E1" s="87"/>
      <c r="F1" s="87"/>
      <c r="G1" s="87"/>
      <c r="H1" s="87"/>
      <c r="I1" s="87"/>
      <c r="J1" s="87"/>
    </row>
    <row r="2" spans="1:10" ht="60.75" x14ac:dyDescent="0.25">
      <c r="A2" s="70" t="s">
        <v>128</v>
      </c>
      <c r="B2" s="70"/>
      <c r="C2" s="70"/>
      <c r="D2" s="70"/>
      <c r="E2" s="70"/>
      <c r="F2" s="70"/>
      <c r="G2" s="70"/>
      <c r="H2" s="70"/>
      <c r="I2" s="70"/>
      <c r="J2" s="70"/>
    </row>
    <row r="3" spans="1:10" ht="57" customHeight="1" x14ac:dyDescent="0.25">
      <c r="A3" s="78" t="s">
        <v>58</v>
      </c>
      <c r="B3" s="78"/>
      <c r="C3" s="78"/>
      <c r="D3" s="78"/>
      <c r="E3" s="78"/>
      <c r="F3" s="78"/>
      <c r="G3" s="78"/>
      <c r="H3" s="78"/>
      <c r="I3" s="78"/>
      <c r="J3" s="78"/>
    </row>
    <row r="6" spans="1:10" ht="15" customHeight="1" x14ac:dyDescent="0.25">
      <c r="A6" s="63" t="s">
        <v>1</v>
      </c>
      <c r="B6" s="64" t="s">
        <v>2</v>
      </c>
      <c r="C6" s="63" t="s">
        <v>3</v>
      </c>
      <c r="D6" s="63" t="s">
        <v>4</v>
      </c>
      <c r="E6" s="63"/>
      <c r="F6" s="67" t="s">
        <v>5</v>
      </c>
      <c r="G6" s="79" t="s">
        <v>117</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214.5" customHeight="1" x14ac:dyDescent="0.4">
      <c r="A9" s="4">
        <v>1</v>
      </c>
      <c r="B9" s="6" t="s">
        <v>45</v>
      </c>
      <c r="C9" s="11" t="s">
        <v>37</v>
      </c>
      <c r="D9" s="31" t="s">
        <v>54</v>
      </c>
      <c r="E9" s="29">
        <v>45920</v>
      </c>
      <c r="F9" s="45">
        <v>0.3</v>
      </c>
      <c r="G9" s="43">
        <f>E9*F9</f>
        <v>13776</v>
      </c>
      <c r="H9" s="46">
        <f>G9+E9</f>
        <v>59696</v>
      </c>
      <c r="I9" s="26" t="s">
        <v>61</v>
      </c>
      <c r="J9" s="9" t="s">
        <v>11</v>
      </c>
    </row>
    <row r="10" spans="1:10" s="30" customFormat="1" ht="174.75" customHeight="1" x14ac:dyDescent="0.5">
      <c r="A10" s="4">
        <v>2</v>
      </c>
      <c r="B10" s="16" t="s">
        <v>39</v>
      </c>
      <c r="C10" s="12" t="s">
        <v>37</v>
      </c>
      <c r="D10" s="9" t="s">
        <v>55</v>
      </c>
      <c r="E10" s="17">
        <v>32800</v>
      </c>
      <c r="F10" s="45">
        <v>0.3</v>
      </c>
      <c r="G10" s="43">
        <f t="shared" ref="G10:G11" si="0">E10*F10</f>
        <v>9840</v>
      </c>
      <c r="H10" s="46">
        <f t="shared" ref="H10:H11" si="1">G10+E10</f>
        <v>42640</v>
      </c>
      <c r="I10" s="26" t="s">
        <v>61</v>
      </c>
      <c r="J10" s="9" t="s">
        <v>11</v>
      </c>
    </row>
    <row r="11" spans="1:10" s="30" customFormat="1" ht="167.25" customHeight="1" x14ac:dyDescent="0.5">
      <c r="A11" s="4">
        <v>3</v>
      </c>
      <c r="B11" s="16" t="s">
        <v>56</v>
      </c>
      <c r="C11" s="12" t="s">
        <v>37</v>
      </c>
      <c r="D11" s="9" t="s">
        <v>60</v>
      </c>
      <c r="E11" s="17">
        <v>26340</v>
      </c>
      <c r="F11" s="45">
        <v>0.3</v>
      </c>
      <c r="G11" s="43">
        <f t="shared" si="0"/>
        <v>7902</v>
      </c>
      <c r="H11" s="46">
        <f t="shared" si="1"/>
        <v>34242</v>
      </c>
      <c r="I11" s="26" t="s">
        <v>61</v>
      </c>
      <c r="J11" s="9" t="s">
        <v>11</v>
      </c>
    </row>
  </sheetData>
  <mergeCells count="12">
    <mergeCell ref="A1:J1"/>
    <mergeCell ref="A6:A8"/>
    <mergeCell ref="B6:B8"/>
    <mergeCell ref="C6:C8"/>
    <mergeCell ref="D6:E7"/>
    <mergeCell ref="F6:F8"/>
    <mergeCell ref="H6:H8"/>
    <mergeCell ref="I6:I8"/>
    <mergeCell ref="J6:J8"/>
    <mergeCell ref="G6:G8"/>
    <mergeCell ref="A2:J2"/>
    <mergeCell ref="A3:J3"/>
  </mergeCells>
  <pageMargins left="0.7" right="0.7" top="0.75" bottom="0.75" header="0.3" footer="0.3"/>
  <pageSetup paperSize="9" scale="3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view="pageBreakPreview" zoomScale="60" zoomScaleNormal="50" workbookViewId="0">
      <selection activeCell="A3" sqref="A3:XFD3"/>
    </sheetView>
  </sheetViews>
  <sheetFormatPr baseColWidth="10" defaultRowHeight="15" x14ac:dyDescent="0.25"/>
  <cols>
    <col min="2" max="2" width="37.140625" customWidth="1"/>
    <col min="3" max="3" width="44.85546875" customWidth="1"/>
    <col min="4" max="4" width="33.5703125" customWidth="1"/>
    <col min="5" max="5" width="32.5703125" customWidth="1"/>
    <col min="6" max="7" width="29.140625" customWidth="1"/>
    <col min="8" max="8" width="31.85546875" customWidth="1"/>
    <col min="9" max="9" width="40.85546875" customWidth="1"/>
    <col min="10" max="10" width="40.42578125" customWidth="1"/>
  </cols>
  <sheetData>
    <row r="1" spans="1:10" ht="46.5" customHeight="1" x14ac:dyDescent="0.25">
      <c r="A1" s="90" t="s">
        <v>129</v>
      </c>
      <c r="B1" s="90"/>
      <c r="C1" s="90"/>
      <c r="D1" s="90"/>
      <c r="E1" s="90"/>
      <c r="F1" s="90"/>
      <c r="G1" s="90"/>
      <c r="H1" s="90"/>
      <c r="I1" s="90"/>
      <c r="J1" s="90"/>
    </row>
    <row r="2" spans="1:10" ht="60.75" x14ac:dyDescent="0.8">
      <c r="A2" s="91" t="s">
        <v>130</v>
      </c>
      <c r="B2" s="91"/>
      <c r="C2" s="91"/>
      <c r="D2" s="91"/>
      <c r="E2" s="91"/>
      <c r="F2" s="91"/>
      <c r="G2" s="91"/>
      <c r="H2" s="91"/>
      <c r="I2" s="91"/>
      <c r="J2" s="91"/>
    </row>
    <row r="3" spans="1:10" ht="66" customHeight="1" x14ac:dyDescent="0.25">
      <c r="A3" s="78" t="s">
        <v>58</v>
      </c>
      <c r="B3" s="78"/>
      <c r="C3" s="78"/>
      <c r="D3" s="78"/>
      <c r="E3" s="78"/>
      <c r="F3" s="78"/>
      <c r="G3" s="78"/>
      <c r="H3" s="78"/>
      <c r="I3" s="78"/>
      <c r="J3" s="78"/>
    </row>
    <row r="6" spans="1:10" ht="15" customHeight="1" x14ac:dyDescent="0.25">
      <c r="A6" s="63" t="s">
        <v>1</v>
      </c>
      <c r="B6" s="64" t="s">
        <v>2</v>
      </c>
      <c r="C6" s="63" t="s">
        <v>3</v>
      </c>
      <c r="D6" s="63" t="s">
        <v>4</v>
      </c>
      <c r="E6" s="63"/>
      <c r="F6" s="63" t="s">
        <v>5</v>
      </c>
      <c r="G6" s="92" t="s">
        <v>117</v>
      </c>
      <c r="H6" s="69" t="s">
        <v>6</v>
      </c>
      <c r="I6" s="63" t="s">
        <v>7</v>
      </c>
      <c r="J6" s="63" t="s">
        <v>8</v>
      </c>
    </row>
    <row r="7" spans="1:10" ht="15" customHeight="1" x14ac:dyDescent="0.25">
      <c r="A7" s="63"/>
      <c r="B7" s="65"/>
      <c r="C7" s="63"/>
      <c r="D7" s="63"/>
      <c r="E7" s="63"/>
      <c r="F7" s="63"/>
      <c r="G7" s="93"/>
      <c r="H7" s="69"/>
      <c r="I7" s="63"/>
      <c r="J7" s="63"/>
    </row>
    <row r="8" spans="1:10" s="5" customFormat="1" ht="81" customHeight="1" x14ac:dyDescent="0.4">
      <c r="A8" s="63"/>
      <c r="B8" s="66"/>
      <c r="C8" s="63"/>
      <c r="D8" s="3" t="s">
        <v>9</v>
      </c>
      <c r="E8" s="4" t="s">
        <v>10</v>
      </c>
      <c r="F8" s="63"/>
      <c r="G8" s="94"/>
      <c r="H8" s="69"/>
      <c r="I8" s="63"/>
      <c r="J8" s="63"/>
    </row>
    <row r="9" spans="1:10" s="5" customFormat="1" ht="210.75" customHeight="1" x14ac:dyDescent="0.4">
      <c r="A9" s="4">
        <v>1</v>
      </c>
      <c r="B9" s="6" t="s">
        <v>45</v>
      </c>
      <c r="C9" s="11" t="s">
        <v>37</v>
      </c>
      <c r="D9" s="31" t="s">
        <v>62</v>
      </c>
      <c r="E9" s="29">
        <v>55760</v>
      </c>
      <c r="F9" s="10">
        <v>0.3</v>
      </c>
      <c r="G9" s="29">
        <f>E9*F9</f>
        <v>16728</v>
      </c>
      <c r="H9" s="42">
        <f>E9+G9</f>
        <v>72488</v>
      </c>
      <c r="I9" s="26" t="s">
        <v>68</v>
      </c>
      <c r="J9" s="9" t="s">
        <v>11</v>
      </c>
    </row>
    <row r="10" spans="1:10" s="30" customFormat="1" ht="174.75" customHeight="1" x14ac:dyDescent="0.5">
      <c r="A10" s="4">
        <v>2</v>
      </c>
      <c r="B10" s="16" t="s">
        <v>39</v>
      </c>
      <c r="C10" s="12" t="s">
        <v>37</v>
      </c>
      <c r="D10" s="9" t="s">
        <v>63</v>
      </c>
      <c r="E10" s="17">
        <v>42640</v>
      </c>
      <c r="F10" s="10">
        <v>0.3</v>
      </c>
      <c r="G10" s="29">
        <f>E10*F10</f>
        <v>12792</v>
      </c>
      <c r="H10" s="42">
        <f t="shared" ref="H10:H13" si="0">E10+G10</f>
        <v>55432</v>
      </c>
      <c r="I10" s="26" t="s">
        <v>68</v>
      </c>
      <c r="J10" s="9" t="s">
        <v>11</v>
      </c>
    </row>
    <row r="11" spans="1:10" s="30" customFormat="1" ht="174.75" customHeight="1" x14ac:dyDescent="0.5">
      <c r="A11" s="4">
        <v>3</v>
      </c>
      <c r="B11" s="16" t="s">
        <v>41</v>
      </c>
      <c r="C11" s="12" t="s">
        <v>37</v>
      </c>
      <c r="D11" s="9" t="s">
        <v>64</v>
      </c>
      <c r="E11" s="17">
        <v>29520</v>
      </c>
      <c r="F11" s="10">
        <v>0.3</v>
      </c>
      <c r="G11" s="29">
        <f>E11*F11</f>
        <v>8856</v>
      </c>
      <c r="H11" s="42">
        <f t="shared" si="0"/>
        <v>38376</v>
      </c>
      <c r="I11" s="26" t="s">
        <v>68</v>
      </c>
      <c r="J11" s="9" t="s">
        <v>11</v>
      </c>
    </row>
    <row r="12" spans="1:10" s="30" customFormat="1" ht="174.75" customHeight="1" x14ac:dyDescent="0.5">
      <c r="A12" s="4">
        <v>4</v>
      </c>
      <c r="B12" s="16" t="s">
        <v>65</v>
      </c>
      <c r="C12" s="12" t="s">
        <v>37</v>
      </c>
      <c r="D12" s="12" t="s">
        <v>66</v>
      </c>
      <c r="E12" s="17">
        <v>29520</v>
      </c>
      <c r="F12" s="10">
        <v>0.3</v>
      </c>
      <c r="G12" s="29">
        <f>E12*F12</f>
        <v>8856</v>
      </c>
      <c r="H12" s="42">
        <f t="shared" si="0"/>
        <v>38376</v>
      </c>
      <c r="I12" s="26" t="s">
        <v>68</v>
      </c>
      <c r="J12" s="9" t="s">
        <v>11</v>
      </c>
    </row>
    <row r="13" spans="1:10" s="30" customFormat="1" ht="167.25" customHeight="1" x14ac:dyDescent="0.5">
      <c r="A13" s="4">
        <v>5</v>
      </c>
      <c r="B13" s="16" t="s">
        <v>51</v>
      </c>
      <c r="C13" s="12" t="s">
        <v>37</v>
      </c>
      <c r="D13" s="9" t="s">
        <v>67</v>
      </c>
      <c r="E13" s="17">
        <v>26240</v>
      </c>
      <c r="F13" s="10">
        <v>0.3</v>
      </c>
      <c r="G13" s="29">
        <f>E13*F13</f>
        <v>7872</v>
      </c>
      <c r="H13" s="42">
        <f t="shared" si="0"/>
        <v>34112</v>
      </c>
      <c r="I13" s="26" t="s">
        <v>68</v>
      </c>
      <c r="J13"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13" r:id="rId1"/>
    <hyperlink ref="I12" r:id="rId2"/>
    <hyperlink ref="I11" r:id="rId3"/>
    <hyperlink ref="I9" r:id="rId4"/>
  </hyperlinks>
  <pageMargins left="0.7" right="0.7" top="0.75" bottom="0.75" header="0.3" footer="0.3"/>
  <pageSetup paperSize="9" scale="41" fitToWidth="0" orientation="landscape"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view="pageBreakPreview" zoomScale="60" zoomScaleNormal="60" workbookViewId="0">
      <selection activeCell="A3" sqref="A3:J3"/>
    </sheetView>
  </sheetViews>
  <sheetFormatPr baseColWidth="10" defaultRowHeight="15" x14ac:dyDescent="0.25"/>
  <cols>
    <col min="2" max="2" width="32" customWidth="1"/>
    <col min="3" max="3" width="48" customWidth="1"/>
    <col min="4" max="4" width="36.42578125" customWidth="1"/>
    <col min="5" max="5" width="33" customWidth="1"/>
    <col min="6" max="7" width="32.85546875" customWidth="1"/>
    <col min="8" max="8" width="41.42578125" customWidth="1"/>
    <col min="9" max="9" width="46.85546875" customWidth="1"/>
    <col min="10" max="10" width="39.42578125" customWidth="1"/>
  </cols>
  <sheetData>
    <row r="1" spans="1:10" ht="46.5" customHeight="1" x14ac:dyDescent="0.25">
      <c r="A1" s="87" t="s">
        <v>131</v>
      </c>
      <c r="B1" s="87"/>
      <c r="C1" s="87"/>
      <c r="D1" s="87"/>
      <c r="E1" s="87"/>
      <c r="F1" s="87"/>
      <c r="G1" s="87"/>
      <c r="H1" s="87"/>
      <c r="I1" s="87"/>
      <c r="J1" s="87"/>
    </row>
    <row r="2" spans="1:10" ht="60.75" x14ac:dyDescent="0.8">
      <c r="A2" s="83" t="s">
        <v>132</v>
      </c>
      <c r="B2" s="83"/>
      <c r="C2" s="83"/>
      <c r="D2" s="83"/>
      <c r="E2" s="83"/>
      <c r="F2" s="83"/>
      <c r="G2" s="83"/>
      <c r="H2" s="83"/>
      <c r="I2" s="83"/>
      <c r="J2" s="83"/>
    </row>
    <row r="3" spans="1:10" ht="75.75" customHeight="1" x14ac:dyDescent="0.25">
      <c r="A3" s="78" t="s">
        <v>58</v>
      </c>
      <c r="B3" s="78"/>
      <c r="C3" s="78"/>
      <c r="D3" s="78"/>
      <c r="E3" s="78"/>
      <c r="F3" s="78"/>
      <c r="G3" s="78"/>
      <c r="H3" s="78"/>
      <c r="I3" s="78"/>
      <c r="J3" s="78"/>
    </row>
    <row r="6" spans="1:10" ht="15" customHeight="1" x14ac:dyDescent="0.25">
      <c r="A6" s="63" t="s">
        <v>1</v>
      </c>
      <c r="B6" s="64" t="s">
        <v>2</v>
      </c>
      <c r="C6" s="63" t="s">
        <v>3</v>
      </c>
      <c r="D6" s="63" t="s">
        <v>4</v>
      </c>
      <c r="E6" s="63"/>
      <c r="F6" s="63" t="s">
        <v>5</v>
      </c>
      <c r="G6" s="92" t="s">
        <v>117</v>
      </c>
      <c r="H6" s="69" t="s">
        <v>6</v>
      </c>
      <c r="I6" s="63" t="s">
        <v>7</v>
      </c>
      <c r="J6" s="63" t="s">
        <v>8</v>
      </c>
    </row>
    <row r="7" spans="1:10" ht="15" customHeight="1" x14ac:dyDescent="0.25">
      <c r="A7" s="63"/>
      <c r="B7" s="65"/>
      <c r="C7" s="63"/>
      <c r="D7" s="63"/>
      <c r="E7" s="63"/>
      <c r="F7" s="63"/>
      <c r="G7" s="93"/>
      <c r="H7" s="69"/>
      <c r="I7" s="63"/>
      <c r="J7" s="63"/>
    </row>
    <row r="8" spans="1:10" s="5" customFormat="1" ht="81" customHeight="1" x14ac:dyDescent="0.4">
      <c r="A8" s="63"/>
      <c r="B8" s="66"/>
      <c r="C8" s="63"/>
      <c r="D8" s="3" t="s">
        <v>9</v>
      </c>
      <c r="E8" s="4" t="s">
        <v>10</v>
      </c>
      <c r="F8" s="63"/>
      <c r="G8" s="94"/>
      <c r="H8" s="69"/>
      <c r="I8" s="63"/>
      <c r="J8" s="63"/>
    </row>
    <row r="9" spans="1:10" s="5" customFormat="1" ht="186" customHeight="1" x14ac:dyDescent="0.4">
      <c r="A9" s="4">
        <v>1</v>
      </c>
      <c r="B9" s="6" t="s">
        <v>45</v>
      </c>
      <c r="C9" s="11" t="s">
        <v>37</v>
      </c>
      <c r="D9" s="31" t="s">
        <v>69</v>
      </c>
      <c r="E9" s="9">
        <v>62315</v>
      </c>
      <c r="F9" s="10">
        <v>0.3</v>
      </c>
      <c r="G9" s="29">
        <f>E9*F9</f>
        <v>18694.5</v>
      </c>
      <c r="H9" s="42">
        <f>E9+G9</f>
        <v>81009.5</v>
      </c>
      <c r="I9" s="26" t="s">
        <v>68</v>
      </c>
      <c r="J9" s="9" t="s">
        <v>11</v>
      </c>
    </row>
    <row r="10" spans="1:10" s="30" customFormat="1" ht="174.75" customHeight="1" x14ac:dyDescent="0.5">
      <c r="A10" s="4">
        <v>2</v>
      </c>
      <c r="B10" s="16" t="s">
        <v>39</v>
      </c>
      <c r="C10" s="12" t="s">
        <v>37</v>
      </c>
      <c r="D10" s="9" t="s">
        <v>70</v>
      </c>
      <c r="E10" s="17">
        <v>45720</v>
      </c>
      <c r="F10" s="10">
        <v>0.3</v>
      </c>
      <c r="G10" s="29">
        <f>E10*F10</f>
        <v>13716</v>
      </c>
      <c r="H10" s="42">
        <f t="shared" ref="H10:H13" si="0">E10+G10</f>
        <v>59436</v>
      </c>
      <c r="I10" s="26" t="s">
        <v>68</v>
      </c>
      <c r="J10" s="9" t="s">
        <v>11</v>
      </c>
    </row>
    <row r="11" spans="1:10" s="30" customFormat="1" ht="174.75" customHeight="1" x14ac:dyDescent="0.5">
      <c r="A11" s="4">
        <v>3</v>
      </c>
      <c r="B11" s="16" t="s">
        <v>41</v>
      </c>
      <c r="C11" s="12" t="s">
        <v>37</v>
      </c>
      <c r="D11" s="9" t="s">
        <v>71</v>
      </c>
      <c r="E11" s="17">
        <v>40670</v>
      </c>
      <c r="F11" s="10">
        <v>0.3</v>
      </c>
      <c r="G11" s="29">
        <f>E11*F11</f>
        <v>12201</v>
      </c>
      <c r="H11" s="42">
        <f t="shared" si="0"/>
        <v>52871</v>
      </c>
      <c r="I11" s="26" t="s">
        <v>68</v>
      </c>
      <c r="J11" s="9" t="s">
        <v>11</v>
      </c>
    </row>
    <row r="12" spans="1:10" s="30" customFormat="1" ht="174.75" customHeight="1" x14ac:dyDescent="0.5">
      <c r="A12" s="4">
        <v>4</v>
      </c>
      <c r="B12" s="16" t="s">
        <v>72</v>
      </c>
      <c r="C12" s="12" t="s">
        <v>37</v>
      </c>
      <c r="D12" s="12" t="s">
        <v>73</v>
      </c>
      <c r="E12" s="17">
        <v>39230</v>
      </c>
      <c r="F12" s="10">
        <v>0.3</v>
      </c>
      <c r="G12" s="29">
        <f>E12*F12</f>
        <v>11769</v>
      </c>
      <c r="H12" s="42">
        <f t="shared" si="0"/>
        <v>50999</v>
      </c>
      <c r="I12" s="26" t="s">
        <v>68</v>
      </c>
      <c r="J12" s="9" t="s">
        <v>11</v>
      </c>
    </row>
    <row r="13" spans="1:10" s="30" customFormat="1" ht="167.25" customHeight="1" x14ac:dyDescent="0.5">
      <c r="A13" s="4">
        <v>5</v>
      </c>
      <c r="B13" s="16" t="s">
        <v>43</v>
      </c>
      <c r="C13" s="12" t="s">
        <v>37</v>
      </c>
      <c r="D13" s="9" t="s">
        <v>74</v>
      </c>
      <c r="E13" s="17">
        <v>32735</v>
      </c>
      <c r="F13" s="10">
        <v>0.3</v>
      </c>
      <c r="G13" s="29">
        <f>E13*F13</f>
        <v>9820.5</v>
      </c>
      <c r="H13" s="42">
        <f t="shared" si="0"/>
        <v>42555.5</v>
      </c>
      <c r="I13" s="26" t="s">
        <v>68</v>
      </c>
      <c r="J13"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13" r:id="rId1"/>
    <hyperlink ref="I12" r:id="rId2"/>
    <hyperlink ref="I11" r:id="rId3"/>
    <hyperlink ref="I9" r:id="rId4"/>
  </hyperlinks>
  <pageMargins left="0.7" right="0.7" top="0.75" bottom="0.75" header="0.3" footer="0.3"/>
  <pageSetup paperSize="9" scale="37" orientation="landscape"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
  <sheetViews>
    <sheetView view="pageBreakPreview" zoomScale="50" zoomScaleNormal="70" zoomScaleSheetLayoutView="50" workbookViewId="0">
      <selection activeCell="A4" sqref="A4:XFD5"/>
    </sheetView>
  </sheetViews>
  <sheetFormatPr baseColWidth="10" defaultRowHeight="15" x14ac:dyDescent="0.25"/>
  <cols>
    <col min="2" max="2" width="32.28515625" customWidth="1"/>
    <col min="3" max="3" width="46.140625" customWidth="1"/>
    <col min="4" max="4" width="33.85546875" customWidth="1"/>
    <col min="5" max="5" width="35.28515625" customWidth="1"/>
    <col min="6" max="6" width="39.140625" customWidth="1"/>
    <col min="7" max="7" width="44.85546875" customWidth="1"/>
    <col min="8" max="8" width="50.5703125" customWidth="1"/>
    <col min="9" max="9" width="46.28515625" customWidth="1"/>
  </cols>
  <sheetData>
    <row r="1" spans="1:9" ht="46.5" customHeight="1" x14ac:dyDescent="0.25">
      <c r="A1" s="87" t="s">
        <v>133</v>
      </c>
      <c r="B1" s="87"/>
      <c r="C1" s="87"/>
      <c r="D1" s="87"/>
      <c r="E1" s="87"/>
      <c r="F1" s="87"/>
      <c r="G1" s="87"/>
      <c r="H1" s="87"/>
      <c r="I1" s="87"/>
    </row>
    <row r="2" spans="1:9" ht="60.75" x14ac:dyDescent="0.8">
      <c r="A2" s="83" t="s">
        <v>134</v>
      </c>
      <c r="B2" s="83"/>
      <c r="C2" s="83"/>
      <c r="D2" s="83"/>
      <c r="E2" s="83"/>
      <c r="F2" s="83"/>
      <c r="G2" s="83"/>
      <c r="H2" s="83"/>
      <c r="I2" s="83"/>
    </row>
    <row r="3" spans="1:9" ht="57" customHeight="1" x14ac:dyDescent="0.25">
      <c r="A3" s="97" t="s">
        <v>58</v>
      </c>
      <c r="B3" s="97"/>
      <c r="C3" s="97"/>
      <c r="D3" s="97"/>
      <c r="E3" s="97"/>
      <c r="F3" s="97"/>
      <c r="G3" s="97"/>
      <c r="H3" s="97"/>
      <c r="I3" s="97"/>
    </row>
    <row r="6" spans="1:9" ht="15" customHeight="1" x14ac:dyDescent="0.25">
      <c r="A6" s="63" t="s">
        <v>1</v>
      </c>
      <c r="B6" s="64" t="s">
        <v>2</v>
      </c>
      <c r="C6" s="63" t="s">
        <v>3</v>
      </c>
      <c r="D6" s="63" t="s">
        <v>4</v>
      </c>
      <c r="E6" s="63"/>
      <c r="F6" s="67" t="s">
        <v>5</v>
      </c>
      <c r="G6" s="95" t="s">
        <v>6</v>
      </c>
      <c r="H6" s="96" t="s">
        <v>7</v>
      </c>
      <c r="I6" s="63" t="s">
        <v>8</v>
      </c>
    </row>
    <row r="7" spans="1:9" ht="15" customHeight="1" x14ac:dyDescent="0.25">
      <c r="A7" s="63"/>
      <c r="B7" s="65"/>
      <c r="C7" s="63"/>
      <c r="D7" s="63"/>
      <c r="E7" s="63"/>
      <c r="F7" s="67"/>
      <c r="G7" s="95"/>
      <c r="H7" s="96"/>
      <c r="I7" s="63"/>
    </row>
    <row r="8" spans="1:9" s="5" customFormat="1" ht="81" customHeight="1" x14ac:dyDescent="0.4">
      <c r="A8" s="63"/>
      <c r="B8" s="66"/>
      <c r="C8" s="63"/>
      <c r="D8" s="3" t="s">
        <v>9</v>
      </c>
      <c r="E8" s="4" t="s">
        <v>10</v>
      </c>
      <c r="F8" s="67"/>
      <c r="G8" s="95"/>
      <c r="H8" s="96"/>
      <c r="I8" s="63"/>
    </row>
    <row r="9" spans="1:9" s="5" customFormat="1" ht="283.5" customHeight="1" x14ac:dyDescent="0.4">
      <c r="A9" s="4">
        <v>1</v>
      </c>
      <c r="B9" s="6" t="s">
        <v>45</v>
      </c>
      <c r="C9" s="11" t="s">
        <v>37</v>
      </c>
      <c r="D9" s="31" t="s">
        <v>75</v>
      </c>
      <c r="E9" s="9">
        <v>52480</v>
      </c>
      <c r="F9" s="45">
        <v>0.1</v>
      </c>
      <c r="G9" s="58">
        <v>57730</v>
      </c>
      <c r="H9" s="59" t="s">
        <v>77</v>
      </c>
      <c r="I9" s="9" t="s">
        <v>11</v>
      </c>
    </row>
    <row r="10" spans="1:9" s="30" customFormat="1" ht="174.75" customHeight="1" x14ac:dyDescent="0.5">
      <c r="A10" s="4">
        <v>2</v>
      </c>
      <c r="B10" s="16" t="s">
        <v>39</v>
      </c>
      <c r="C10" s="12" t="s">
        <v>37</v>
      </c>
      <c r="D10" s="9" t="s">
        <v>76</v>
      </c>
      <c r="E10" s="17">
        <v>42640</v>
      </c>
      <c r="F10" s="45">
        <v>0.1</v>
      </c>
      <c r="G10" s="43">
        <v>46910</v>
      </c>
      <c r="H10" s="59" t="s">
        <v>77</v>
      </c>
      <c r="I10" s="9" t="s">
        <v>11</v>
      </c>
    </row>
    <row r="11" spans="1:9" s="30" customFormat="1" ht="174.75" customHeight="1" x14ac:dyDescent="0.5">
      <c r="A11" s="4">
        <v>3</v>
      </c>
      <c r="B11" s="16" t="s">
        <v>41</v>
      </c>
      <c r="C11" s="12" t="s">
        <v>37</v>
      </c>
      <c r="D11" s="9" t="s">
        <v>64</v>
      </c>
      <c r="E11" s="17">
        <v>29520</v>
      </c>
      <c r="F11" s="45">
        <v>0.1</v>
      </c>
      <c r="G11" s="43">
        <v>32475</v>
      </c>
      <c r="H11" s="59" t="s">
        <v>77</v>
      </c>
      <c r="I11" s="9" t="s">
        <v>11</v>
      </c>
    </row>
  </sheetData>
  <mergeCells count="11">
    <mergeCell ref="A1:I1"/>
    <mergeCell ref="A6:A8"/>
    <mergeCell ref="B6:B8"/>
    <mergeCell ref="C6:C8"/>
    <mergeCell ref="D6:E7"/>
    <mergeCell ref="F6:F8"/>
    <mergeCell ref="G6:G8"/>
    <mergeCell ref="H6:H8"/>
    <mergeCell ref="I6:I8"/>
    <mergeCell ref="A2:I2"/>
    <mergeCell ref="A3:I3"/>
  </mergeCells>
  <hyperlinks>
    <hyperlink ref="H11" r:id="rId1"/>
    <hyperlink ref="H10" r:id="rId2"/>
  </hyperlinks>
  <pageMargins left="0.7" right="0.7" top="0.75" bottom="0.75" header="0.3" footer="0.3"/>
  <pageSetup paperSize="9" scale="38"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view="pageBreakPreview" topLeftCell="B9" zoomScale="60" zoomScaleNormal="50" workbookViewId="0">
      <selection activeCell="I11" sqref="I11"/>
    </sheetView>
  </sheetViews>
  <sheetFormatPr baseColWidth="10" defaultRowHeight="15" x14ac:dyDescent="0.25"/>
  <cols>
    <col min="2" max="2" width="45.140625" customWidth="1"/>
    <col min="3" max="3" width="57.28515625" customWidth="1"/>
    <col min="4" max="4" width="34.7109375" customWidth="1"/>
    <col min="5" max="5" width="35.5703125" customWidth="1"/>
    <col min="6" max="7" width="31.5703125" customWidth="1"/>
    <col min="8" max="8" width="34.85546875" customWidth="1"/>
    <col min="9" max="9" width="36.140625" customWidth="1"/>
    <col min="10" max="10" width="42.140625" customWidth="1"/>
  </cols>
  <sheetData>
    <row r="1" spans="1:10" ht="46.5" customHeight="1" x14ac:dyDescent="0.25">
      <c r="A1" s="90" t="s">
        <v>135</v>
      </c>
      <c r="B1" s="90"/>
      <c r="C1" s="90"/>
      <c r="D1" s="90"/>
      <c r="E1" s="90"/>
      <c r="F1" s="90"/>
      <c r="G1" s="90"/>
      <c r="H1" s="90"/>
      <c r="I1" s="90"/>
      <c r="J1" s="90"/>
    </row>
    <row r="2" spans="1:10" ht="60.75" x14ac:dyDescent="0.8">
      <c r="A2" s="91" t="s">
        <v>136</v>
      </c>
      <c r="B2" s="91"/>
      <c r="C2" s="91"/>
      <c r="D2" s="91"/>
      <c r="E2" s="91"/>
      <c r="F2" s="91"/>
      <c r="G2" s="91"/>
      <c r="H2" s="91"/>
      <c r="I2" s="91"/>
      <c r="J2" s="91"/>
    </row>
    <row r="3" spans="1:10" ht="76.5" customHeight="1" x14ac:dyDescent="0.25">
      <c r="A3" s="97" t="s">
        <v>58</v>
      </c>
      <c r="B3" s="97"/>
      <c r="C3" s="97"/>
      <c r="D3" s="97"/>
      <c r="E3" s="97"/>
      <c r="F3" s="97"/>
      <c r="G3" s="97"/>
      <c r="H3" s="97"/>
      <c r="I3" s="97"/>
      <c r="J3" s="97"/>
    </row>
    <row r="6" spans="1:10" ht="15" customHeight="1" x14ac:dyDescent="0.25">
      <c r="A6" s="63" t="s">
        <v>1</v>
      </c>
      <c r="B6" s="64" t="s">
        <v>2</v>
      </c>
      <c r="C6" s="63" t="s">
        <v>3</v>
      </c>
      <c r="D6" s="63" t="s">
        <v>4</v>
      </c>
      <c r="E6" s="63"/>
      <c r="F6" s="63" t="s">
        <v>5</v>
      </c>
      <c r="G6" s="92" t="s">
        <v>125</v>
      </c>
      <c r="H6" s="69" t="s">
        <v>6</v>
      </c>
      <c r="I6" s="63" t="s">
        <v>7</v>
      </c>
      <c r="J6" s="63" t="s">
        <v>8</v>
      </c>
    </row>
    <row r="7" spans="1:10" ht="15" customHeight="1" x14ac:dyDescent="0.25">
      <c r="A7" s="63"/>
      <c r="B7" s="65"/>
      <c r="C7" s="63"/>
      <c r="D7" s="63"/>
      <c r="E7" s="63"/>
      <c r="F7" s="63"/>
      <c r="G7" s="93"/>
      <c r="H7" s="69"/>
      <c r="I7" s="63"/>
      <c r="J7" s="63"/>
    </row>
    <row r="8" spans="1:10" s="5" customFormat="1" ht="81" customHeight="1" x14ac:dyDescent="0.4">
      <c r="A8" s="63"/>
      <c r="B8" s="66"/>
      <c r="C8" s="63"/>
      <c r="D8" s="3" t="s">
        <v>9</v>
      </c>
      <c r="E8" s="4" t="s">
        <v>10</v>
      </c>
      <c r="F8" s="63"/>
      <c r="G8" s="94"/>
      <c r="H8" s="69"/>
      <c r="I8" s="63"/>
      <c r="J8" s="63"/>
    </row>
    <row r="9" spans="1:10" s="5" customFormat="1" ht="193.5" customHeight="1" x14ac:dyDescent="0.4">
      <c r="A9" s="4">
        <v>1</v>
      </c>
      <c r="B9" s="6" t="s">
        <v>39</v>
      </c>
      <c r="C9" s="11" t="s">
        <v>37</v>
      </c>
      <c r="D9" s="31" t="s">
        <v>78</v>
      </c>
      <c r="E9" s="9">
        <v>49200</v>
      </c>
      <c r="F9" s="10">
        <v>0.3</v>
      </c>
      <c r="G9" s="29">
        <f>E9*F9</f>
        <v>14760</v>
      </c>
      <c r="H9" s="42">
        <f>E9+G9</f>
        <v>63960</v>
      </c>
      <c r="I9" s="26" t="s">
        <v>137</v>
      </c>
      <c r="J9" s="9" t="s">
        <v>11</v>
      </c>
    </row>
    <row r="10" spans="1:10" s="30" customFormat="1" ht="174.75" customHeight="1" x14ac:dyDescent="0.5">
      <c r="A10" s="4">
        <v>2</v>
      </c>
      <c r="B10" s="16" t="s">
        <v>41</v>
      </c>
      <c r="C10" s="12" t="s">
        <v>37</v>
      </c>
      <c r="D10" s="9" t="s">
        <v>63</v>
      </c>
      <c r="E10" s="17">
        <v>42640</v>
      </c>
      <c r="F10" s="10">
        <v>0.3</v>
      </c>
      <c r="G10" s="29">
        <f>E10*F10</f>
        <v>12792</v>
      </c>
      <c r="H10" s="29">
        <f>E10+G10</f>
        <v>55432</v>
      </c>
      <c r="I10" s="26" t="s">
        <v>137</v>
      </c>
      <c r="J10" s="9" t="s">
        <v>11</v>
      </c>
    </row>
    <row r="11" spans="1:10" s="30" customFormat="1" ht="174.75" customHeight="1" x14ac:dyDescent="0.5">
      <c r="A11" s="4">
        <v>3</v>
      </c>
      <c r="B11" s="16" t="s">
        <v>51</v>
      </c>
      <c r="C11" s="12" t="s">
        <v>37</v>
      </c>
      <c r="D11" s="9" t="s">
        <v>79</v>
      </c>
      <c r="E11" s="17">
        <v>36100</v>
      </c>
      <c r="F11" s="10">
        <v>0.3</v>
      </c>
      <c r="G11" s="29">
        <f>E11*F11</f>
        <v>10830</v>
      </c>
      <c r="H11" s="29">
        <f>E11+G11</f>
        <v>46930</v>
      </c>
      <c r="I11" s="26" t="s">
        <v>137</v>
      </c>
      <c r="J11" s="9" t="s">
        <v>11</v>
      </c>
    </row>
  </sheetData>
  <mergeCells count="12">
    <mergeCell ref="A1:J1"/>
    <mergeCell ref="A6:A8"/>
    <mergeCell ref="B6:B8"/>
    <mergeCell ref="C6:C8"/>
    <mergeCell ref="D6:E7"/>
    <mergeCell ref="F6:F8"/>
    <mergeCell ref="H6:H8"/>
    <mergeCell ref="I6:I8"/>
    <mergeCell ref="J6:J8"/>
    <mergeCell ref="A2:J2"/>
    <mergeCell ref="A3:J3"/>
    <mergeCell ref="G6:G8"/>
  </mergeCells>
  <hyperlinks>
    <hyperlink ref="I9" r:id="rId1"/>
    <hyperlink ref="I10" r:id="rId2"/>
    <hyperlink ref="I11" r:id="rId3"/>
  </hyperlinks>
  <pageMargins left="0.7" right="0.7" top="0.75" bottom="0.75" header="0.3" footer="0.3"/>
  <pageSetup paperSize="9" scale="36" fitToHeight="0" orientation="landscape" verticalDpi="0"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view="pageBreakPreview" topLeftCell="A13" zoomScale="60" zoomScaleNormal="50" workbookViewId="0">
      <selection activeCell="G19" sqref="G19"/>
    </sheetView>
  </sheetViews>
  <sheetFormatPr baseColWidth="10" defaultRowHeight="15" x14ac:dyDescent="0.25"/>
  <cols>
    <col min="2" max="2" width="38.140625" customWidth="1"/>
    <col min="3" max="3" width="41.7109375" customWidth="1"/>
    <col min="4" max="4" width="40.7109375" customWidth="1"/>
    <col min="5" max="5" width="34.42578125" customWidth="1"/>
    <col min="6" max="7" width="30.140625" customWidth="1"/>
    <col min="8" max="8" width="37.42578125" customWidth="1"/>
    <col min="9" max="9" width="60.85546875" customWidth="1"/>
    <col min="10" max="10" width="48.85546875" customWidth="1"/>
  </cols>
  <sheetData>
    <row r="1" spans="1:10" ht="46.5" customHeight="1" x14ac:dyDescent="0.25">
      <c r="A1" s="87" t="s">
        <v>83</v>
      </c>
      <c r="B1" s="87"/>
      <c r="C1" s="87"/>
      <c r="D1" s="87"/>
      <c r="E1" s="87"/>
      <c r="F1" s="87"/>
      <c r="G1" s="87"/>
      <c r="H1" s="87"/>
      <c r="I1" s="87"/>
      <c r="J1" s="87"/>
    </row>
    <row r="3" spans="1:10" ht="75.75" customHeight="1" x14ac:dyDescent="0.25">
      <c r="B3" s="1"/>
      <c r="C3" s="2"/>
      <c r="D3" s="89" t="s">
        <v>58</v>
      </c>
      <c r="E3" s="89"/>
      <c r="F3" s="89"/>
      <c r="G3" s="89"/>
      <c r="H3" s="89"/>
    </row>
    <row r="6" spans="1:10" ht="15" customHeight="1" x14ac:dyDescent="0.25">
      <c r="A6" s="63" t="s">
        <v>1</v>
      </c>
      <c r="B6" s="64" t="s">
        <v>2</v>
      </c>
      <c r="C6" s="63" t="s">
        <v>3</v>
      </c>
      <c r="D6" s="63" t="s">
        <v>4</v>
      </c>
      <c r="E6" s="63"/>
      <c r="F6" s="67" t="s">
        <v>5</v>
      </c>
      <c r="G6" s="79" t="s">
        <v>125</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204.75" customHeight="1" x14ac:dyDescent="0.4">
      <c r="A9" s="4">
        <v>1</v>
      </c>
      <c r="B9" s="6" t="s">
        <v>45</v>
      </c>
      <c r="C9" s="11" t="s">
        <v>37</v>
      </c>
      <c r="D9" s="39" t="s">
        <v>80</v>
      </c>
      <c r="E9" s="29">
        <v>45920</v>
      </c>
      <c r="F9" s="45">
        <v>0.3</v>
      </c>
      <c r="G9" s="43">
        <f t="shared" ref="G9:G14" si="0">E9*F9</f>
        <v>13776</v>
      </c>
      <c r="H9" s="60">
        <f t="shared" ref="H9:H14" si="1">E9+G9</f>
        <v>59696</v>
      </c>
      <c r="I9" s="26" t="s">
        <v>82</v>
      </c>
      <c r="J9" s="9" t="s">
        <v>11</v>
      </c>
    </row>
    <row r="10" spans="1:10" s="30" customFormat="1" ht="174.75" customHeight="1" x14ac:dyDescent="0.5">
      <c r="A10" s="4">
        <v>2</v>
      </c>
      <c r="B10" s="16" t="s">
        <v>39</v>
      </c>
      <c r="C10" s="12" t="s">
        <v>37</v>
      </c>
      <c r="D10" s="29" t="s">
        <v>79</v>
      </c>
      <c r="E10" s="29">
        <v>36080</v>
      </c>
      <c r="F10" s="45">
        <v>0.3</v>
      </c>
      <c r="G10" s="43">
        <f t="shared" si="0"/>
        <v>10824</v>
      </c>
      <c r="H10" s="47">
        <f t="shared" si="1"/>
        <v>46904</v>
      </c>
      <c r="I10" s="26" t="s">
        <v>82</v>
      </c>
      <c r="J10" s="9" t="s">
        <v>11</v>
      </c>
    </row>
    <row r="11" spans="1:10" s="30" customFormat="1" ht="174.75" customHeight="1" x14ac:dyDescent="0.5">
      <c r="A11" s="4">
        <v>3</v>
      </c>
      <c r="B11" s="16" t="s">
        <v>65</v>
      </c>
      <c r="C11" s="12" t="s">
        <v>37</v>
      </c>
      <c r="D11" s="29" t="s">
        <v>81</v>
      </c>
      <c r="E11" s="29">
        <v>36080</v>
      </c>
      <c r="F11" s="45">
        <v>0.3</v>
      </c>
      <c r="G11" s="43">
        <f t="shared" si="0"/>
        <v>10824</v>
      </c>
      <c r="H11" s="47">
        <f t="shared" si="1"/>
        <v>46904</v>
      </c>
      <c r="I11" s="26" t="s">
        <v>82</v>
      </c>
      <c r="J11" s="9" t="s">
        <v>11</v>
      </c>
    </row>
    <row r="12" spans="1:10" s="30" customFormat="1" ht="174.75" customHeight="1" x14ac:dyDescent="0.5">
      <c r="A12" s="4">
        <v>4</v>
      </c>
      <c r="B12" s="16" t="s">
        <v>41</v>
      </c>
      <c r="C12" s="12" t="s">
        <v>37</v>
      </c>
      <c r="D12" s="40" t="s">
        <v>64</v>
      </c>
      <c r="E12" s="29">
        <v>29520</v>
      </c>
      <c r="F12" s="45">
        <v>0.3</v>
      </c>
      <c r="G12" s="43">
        <f t="shared" si="0"/>
        <v>8856</v>
      </c>
      <c r="H12" s="47">
        <f t="shared" si="1"/>
        <v>38376</v>
      </c>
      <c r="I12" s="26" t="s">
        <v>82</v>
      </c>
      <c r="J12" s="9" t="s">
        <v>11</v>
      </c>
    </row>
    <row r="13" spans="1:10" s="30" customFormat="1" ht="167.25" customHeight="1" x14ac:dyDescent="0.5">
      <c r="A13" s="4">
        <v>5</v>
      </c>
      <c r="B13" s="16" t="s">
        <v>43</v>
      </c>
      <c r="C13" s="12" t="s">
        <v>37</v>
      </c>
      <c r="D13" s="29" t="s">
        <v>64</v>
      </c>
      <c r="E13" s="29">
        <v>29520</v>
      </c>
      <c r="F13" s="45">
        <v>0.3</v>
      </c>
      <c r="G13" s="43">
        <f t="shared" si="0"/>
        <v>8856</v>
      </c>
      <c r="H13" s="47">
        <f t="shared" si="1"/>
        <v>38376</v>
      </c>
      <c r="I13" s="26" t="s">
        <v>82</v>
      </c>
      <c r="J13" s="9" t="s">
        <v>11</v>
      </c>
    </row>
    <row r="14" spans="1:10" s="30" customFormat="1" ht="167.25" customHeight="1" x14ac:dyDescent="0.5">
      <c r="A14" s="4">
        <v>6</v>
      </c>
      <c r="B14" s="16" t="s">
        <v>51</v>
      </c>
      <c r="C14" s="12" t="s">
        <v>37</v>
      </c>
      <c r="D14" s="29" t="s">
        <v>64</v>
      </c>
      <c r="E14" s="29">
        <v>29520</v>
      </c>
      <c r="F14" s="45">
        <v>0.3</v>
      </c>
      <c r="G14" s="43">
        <f t="shared" si="0"/>
        <v>8856</v>
      </c>
      <c r="H14" s="47">
        <f t="shared" si="1"/>
        <v>38376</v>
      </c>
      <c r="I14" s="26" t="s">
        <v>82</v>
      </c>
      <c r="J14" s="9" t="s">
        <v>11</v>
      </c>
    </row>
  </sheetData>
  <mergeCells count="11">
    <mergeCell ref="A1:J1"/>
    <mergeCell ref="D3:H3"/>
    <mergeCell ref="A6:A8"/>
    <mergeCell ref="B6:B8"/>
    <mergeCell ref="C6:C8"/>
    <mergeCell ref="D6:E7"/>
    <mergeCell ref="F6:F8"/>
    <mergeCell ref="H6:H8"/>
    <mergeCell ref="I6:I8"/>
    <mergeCell ref="J6:J8"/>
    <mergeCell ref="G6:G8"/>
  </mergeCells>
  <hyperlinks>
    <hyperlink ref="I14" r:id="rId1"/>
    <hyperlink ref="I10" r:id="rId2"/>
  </hyperlinks>
  <pageMargins left="0.7" right="0.7" top="0.75" bottom="0.75" header="0.3" footer="0.3"/>
  <pageSetup paperSize="9" scale="35"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view="pageBreakPreview" zoomScale="60" zoomScaleNormal="60" workbookViewId="0">
      <selection activeCell="A3" sqref="A3:J3"/>
    </sheetView>
  </sheetViews>
  <sheetFormatPr baseColWidth="10" defaultRowHeight="15" x14ac:dyDescent="0.25"/>
  <cols>
    <col min="2" max="2" width="32.28515625" customWidth="1"/>
    <col min="3" max="3" width="50.42578125" customWidth="1"/>
    <col min="4" max="4" width="39.42578125" customWidth="1"/>
    <col min="5" max="5" width="39.7109375" customWidth="1"/>
    <col min="6" max="7" width="32" customWidth="1"/>
    <col min="8" max="8" width="33.5703125" customWidth="1"/>
    <col min="9" max="9" width="34.42578125" customWidth="1"/>
    <col min="10" max="10" width="42.28515625" customWidth="1"/>
  </cols>
  <sheetData>
    <row r="1" spans="1:10" ht="46.5" customHeight="1" x14ac:dyDescent="0.25">
      <c r="A1" s="87" t="s">
        <v>102</v>
      </c>
      <c r="B1" s="87"/>
      <c r="C1" s="87"/>
      <c r="D1" s="87"/>
      <c r="E1" s="87"/>
      <c r="F1" s="87"/>
      <c r="G1" s="87"/>
      <c r="H1" s="87"/>
      <c r="I1" s="87"/>
      <c r="J1" s="87"/>
    </row>
    <row r="2" spans="1:10" s="38" customFormat="1" ht="52.5" customHeight="1" x14ac:dyDescent="0.25">
      <c r="A2" s="98" t="s">
        <v>103</v>
      </c>
      <c r="B2" s="98"/>
      <c r="C2" s="98"/>
      <c r="D2" s="98"/>
      <c r="E2" s="98"/>
      <c r="F2" s="98"/>
      <c r="G2" s="98"/>
      <c r="H2" s="98"/>
      <c r="I2" s="98"/>
      <c r="J2" s="98"/>
    </row>
    <row r="3" spans="1:10" ht="59.25" customHeight="1" x14ac:dyDescent="0.25">
      <c r="A3" s="78" t="s">
        <v>108</v>
      </c>
      <c r="B3" s="78"/>
      <c r="C3" s="78"/>
      <c r="D3" s="78"/>
      <c r="E3" s="78"/>
      <c r="F3" s="78"/>
      <c r="G3" s="78"/>
      <c r="H3" s="78"/>
      <c r="I3" s="78"/>
      <c r="J3" s="78"/>
    </row>
    <row r="6" spans="1:10" ht="15" customHeight="1" x14ac:dyDescent="0.25">
      <c r="A6" s="63" t="s">
        <v>1</v>
      </c>
      <c r="B6" s="64" t="s">
        <v>2</v>
      </c>
      <c r="C6" s="63" t="s">
        <v>3</v>
      </c>
      <c r="D6" s="63" t="s">
        <v>4</v>
      </c>
      <c r="E6" s="63"/>
      <c r="F6" s="67" t="s">
        <v>5</v>
      </c>
      <c r="G6" s="79" t="s">
        <v>90</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184.5" customHeight="1" x14ac:dyDescent="0.4">
      <c r="A9" s="4">
        <v>1</v>
      </c>
      <c r="B9" s="33" t="s">
        <v>84</v>
      </c>
      <c r="C9" s="32" t="s">
        <v>85</v>
      </c>
      <c r="D9" s="31" t="s">
        <v>88</v>
      </c>
      <c r="E9" s="9">
        <v>331785</v>
      </c>
      <c r="F9" s="45">
        <v>0.3</v>
      </c>
      <c r="G9" s="43">
        <f>E9*F9</f>
        <v>99535.5</v>
      </c>
      <c r="H9" s="61">
        <f>E9+G9</f>
        <v>431320.5</v>
      </c>
      <c r="I9" s="26" t="s">
        <v>91</v>
      </c>
      <c r="J9" s="9" t="s">
        <v>11</v>
      </c>
    </row>
    <row r="10" spans="1:10" s="30" customFormat="1" ht="212.25" customHeight="1" x14ac:dyDescent="0.5">
      <c r="A10" s="4">
        <v>2</v>
      </c>
      <c r="B10" s="16" t="s">
        <v>86</v>
      </c>
      <c r="C10" s="7" t="s">
        <v>87</v>
      </c>
      <c r="D10" s="9" t="s">
        <v>89</v>
      </c>
      <c r="E10" s="17">
        <v>210905</v>
      </c>
      <c r="F10" s="45">
        <v>0.3</v>
      </c>
      <c r="G10" s="43">
        <f>E10*F10</f>
        <v>63271.5</v>
      </c>
      <c r="H10" s="47">
        <f>G10+E10</f>
        <v>274176.5</v>
      </c>
      <c r="I10" s="26" t="s">
        <v>92</v>
      </c>
      <c r="J10" s="9" t="s">
        <v>11</v>
      </c>
    </row>
  </sheetData>
  <mergeCells count="12">
    <mergeCell ref="G6:G8"/>
    <mergeCell ref="A2:J2"/>
    <mergeCell ref="A3:J3"/>
    <mergeCell ref="A1:J1"/>
    <mergeCell ref="A6:A8"/>
    <mergeCell ref="B6:B8"/>
    <mergeCell ref="C6:C8"/>
    <mergeCell ref="D6:E7"/>
    <mergeCell ref="F6:F8"/>
    <mergeCell ref="H6:H8"/>
    <mergeCell ref="I6:I8"/>
    <mergeCell ref="J6:J8"/>
  </mergeCells>
  <hyperlinks>
    <hyperlink ref="I9" r:id="rId1"/>
    <hyperlink ref="I10" r:id="rId2"/>
  </hyperlinks>
  <pageMargins left="0.7" right="0.7" top="0.75" bottom="0.75" header="0.3" footer="0.3"/>
  <pageSetup paperSize="9" scale="37" fitToHeight="0" orientation="landscap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view="pageBreakPreview" zoomScale="60" zoomScaleNormal="70" workbookViewId="0">
      <selection activeCell="G4" sqref="G4:G10"/>
    </sheetView>
  </sheetViews>
  <sheetFormatPr baseColWidth="10" defaultRowHeight="15" x14ac:dyDescent="0.25"/>
  <cols>
    <col min="2" max="2" width="37.28515625" customWidth="1"/>
    <col min="3" max="3" width="64.140625" customWidth="1"/>
    <col min="4" max="4" width="34" customWidth="1"/>
    <col min="5" max="5" width="35.7109375" customWidth="1"/>
    <col min="6" max="6" width="30.42578125" customWidth="1"/>
    <col min="7" max="7" width="27.140625" customWidth="1"/>
    <col min="8" max="8" width="33" customWidth="1"/>
    <col min="9" max="9" width="40.5703125" customWidth="1"/>
    <col min="10" max="10" width="44.7109375" customWidth="1"/>
  </cols>
  <sheetData>
    <row r="1" spans="1:10" ht="46.5" customHeight="1" thickBot="1" x14ac:dyDescent="0.3">
      <c r="A1" s="102" t="s">
        <v>100</v>
      </c>
      <c r="B1" s="103"/>
      <c r="C1" s="103"/>
      <c r="D1" s="103"/>
      <c r="E1" s="103"/>
      <c r="F1" s="103"/>
      <c r="G1" s="103"/>
      <c r="H1" s="103"/>
      <c r="I1" s="103"/>
      <c r="J1" s="104"/>
    </row>
    <row r="2" spans="1:10" ht="61.5" x14ac:dyDescent="0.25">
      <c r="A2" s="99" t="s">
        <v>138</v>
      </c>
      <c r="B2" s="100"/>
      <c r="C2" s="100"/>
      <c r="D2" s="100"/>
      <c r="E2" s="100"/>
      <c r="F2" s="100"/>
      <c r="G2" s="100"/>
      <c r="H2" s="100"/>
      <c r="I2" s="100"/>
      <c r="J2" s="100"/>
    </row>
    <row r="3" spans="1:10" ht="51" customHeight="1" x14ac:dyDescent="0.25">
      <c r="A3" s="101" t="s">
        <v>101</v>
      </c>
      <c r="B3" s="101"/>
      <c r="C3" s="101"/>
      <c r="D3" s="101"/>
      <c r="E3" s="101"/>
      <c r="F3" s="101"/>
      <c r="G3" s="101"/>
      <c r="H3" s="101"/>
      <c r="I3" s="101"/>
      <c r="J3" s="101"/>
    </row>
    <row r="4" spans="1:10" ht="15" customHeight="1" x14ac:dyDescent="0.25">
      <c r="A4" s="63" t="s">
        <v>1</v>
      </c>
      <c r="B4" s="64" t="s">
        <v>2</v>
      </c>
      <c r="C4" s="63" t="s">
        <v>3</v>
      </c>
      <c r="D4" s="63" t="s">
        <v>4</v>
      </c>
      <c r="E4" s="63"/>
      <c r="F4" s="67" t="s">
        <v>5</v>
      </c>
      <c r="G4" s="79" t="s">
        <v>98</v>
      </c>
      <c r="H4" s="77" t="s">
        <v>6</v>
      </c>
      <c r="I4" s="63" t="s">
        <v>7</v>
      </c>
      <c r="J4" s="63" t="s">
        <v>8</v>
      </c>
    </row>
    <row r="5" spans="1:10" ht="15" customHeight="1" x14ac:dyDescent="0.25">
      <c r="A5" s="63"/>
      <c r="B5" s="65"/>
      <c r="C5" s="63"/>
      <c r="D5" s="63"/>
      <c r="E5" s="63"/>
      <c r="F5" s="67"/>
      <c r="G5" s="80"/>
      <c r="H5" s="77"/>
      <c r="I5" s="63"/>
      <c r="J5" s="63"/>
    </row>
    <row r="6" spans="1:10" s="5" customFormat="1" ht="81" customHeight="1" x14ac:dyDescent="0.4">
      <c r="A6" s="63"/>
      <c r="B6" s="66"/>
      <c r="C6" s="63"/>
      <c r="D6" s="3" t="s">
        <v>9</v>
      </c>
      <c r="E6" s="4" t="s">
        <v>10</v>
      </c>
      <c r="F6" s="67"/>
      <c r="G6" s="81"/>
      <c r="H6" s="77"/>
      <c r="I6" s="63"/>
      <c r="J6" s="63"/>
    </row>
    <row r="7" spans="1:10" s="5" customFormat="1" ht="184.5" customHeight="1" x14ac:dyDescent="0.4">
      <c r="A7" s="4">
        <v>1</v>
      </c>
      <c r="B7" s="33" t="s">
        <v>93</v>
      </c>
      <c r="C7" s="35" t="s">
        <v>96</v>
      </c>
      <c r="D7" s="34">
        <v>68</v>
      </c>
      <c r="E7" s="29">
        <v>44605</v>
      </c>
      <c r="F7" s="45">
        <v>0.3</v>
      </c>
      <c r="G7" s="43">
        <f>E7*F7</f>
        <v>13381.5</v>
      </c>
      <c r="H7" s="60">
        <f>E7+G7</f>
        <v>57986.5</v>
      </c>
      <c r="I7" s="26" t="s">
        <v>99</v>
      </c>
      <c r="J7" s="9" t="s">
        <v>11</v>
      </c>
    </row>
    <row r="8" spans="1:10" s="5" customFormat="1" ht="184.5" customHeight="1" x14ac:dyDescent="0.4">
      <c r="A8" s="4">
        <v>2</v>
      </c>
      <c r="B8" s="33" t="s">
        <v>94</v>
      </c>
      <c r="C8" s="35" t="s">
        <v>96</v>
      </c>
      <c r="D8" s="34">
        <v>58</v>
      </c>
      <c r="E8" s="29">
        <v>38045</v>
      </c>
      <c r="F8" s="45">
        <v>0.3</v>
      </c>
      <c r="G8" s="43">
        <f>E8*F8</f>
        <v>11413.5</v>
      </c>
      <c r="H8" s="60">
        <f t="shared" ref="H8:H10" si="0">E8+G8</f>
        <v>49458.5</v>
      </c>
      <c r="I8" s="26" t="s">
        <v>99</v>
      </c>
      <c r="J8" s="9" t="s">
        <v>11</v>
      </c>
    </row>
    <row r="9" spans="1:10" s="5" customFormat="1" ht="184.5" customHeight="1" x14ac:dyDescent="0.4">
      <c r="A9" s="4">
        <v>3</v>
      </c>
      <c r="B9" s="33" t="s">
        <v>95</v>
      </c>
      <c r="C9" s="35" t="s">
        <v>96</v>
      </c>
      <c r="D9" s="34">
        <v>43</v>
      </c>
      <c r="E9" s="29">
        <v>28210</v>
      </c>
      <c r="F9" s="45">
        <v>0.3</v>
      </c>
      <c r="G9" s="43">
        <f>E9*F9</f>
        <v>8463</v>
      </c>
      <c r="H9" s="60">
        <f t="shared" si="0"/>
        <v>36673</v>
      </c>
      <c r="I9" s="26" t="s">
        <v>99</v>
      </c>
      <c r="J9" s="9" t="s">
        <v>11</v>
      </c>
    </row>
    <row r="10" spans="1:10" s="30" customFormat="1" ht="212.25" customHeight="1" x14ac:dyDescent="0.5">
      <c r="A10" s="4">
        <v>4</v>
      </c>
      <c r="B10" s="16" t="s">
        <v>97</v>
      </c>
      <c r="C10" s="11" t="s">
        <v>96</v>
      </c>
      <c r="D10" s="36">
        <v>45</v>
      </c>
      <c r="E10" s="29">
        <v>29520</v>
      </c>
      <c r="F10" s="45">
        <v>0.3</v>
      </c>
      <c r="G10" s="43">
        <f>E10*F10</f>
        <v>8856</v>
      </c>
      <c r="H10" s="60">
        <f t="shared" si="0"/>
        <v>38376</v>
      </c>
      <c r="I10" s="26" t="s">
        <v>99</v>
      </c>
      <c r="J10" s="9" t="s">
        <v>11</v>
      </c>
    </row>
  </sheetData>
  <mergeCells count="12">
    <mergeCell ref="J4:J6"/>
    <mergeCell ref="A2:J2"/>
    <mergeCell ref="A3:J3"/>
    <mergeCell ref="A1:J1"/>
    <mergeCell ref="A4:A6"/>
    <mergeCell ref="B4:B6"/>
    <mergeCell ref="C4:C6"/>
    <mergeCell ref="D4:E5"/>
    <mergeCell ref="F4:F6"/>
    <mergeCell ref="G4:G6"/>
    <mergeCell ref="H4:H6"/>
    <mergeCell ref="I4:I6"/>
  </mergeCells>
  <hyperlinks>
    <hyperlink ref="I10" r:id="rId1"/>
  </hyperlinks>
  <pageMargins left="0.7" right="0.7" top="0.75" bottom="0.75" header="0.3" footer="0.3"/>
  <pageSetup paperSize="9" scale="36"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view="pageBreakPreview" zoomScale="60" zoomScaleNormal="50" workbookViewId="0">
      <selection activeCell="E11" sqref="E11"/>
    </sheetView>
  </sheetViews>
  <sheetFormatPr baseColWidth="10" defaultRowHeight="15" x14ac:dyDescent="0.25"/>
  <cols>
    <col min="2" max="2" width="42" customWidth="1"/>
    <col min="3" max="3" width="38.42578125" customWidth="1"/>
    <col min="4" max="4" width="40.42578125" customWidth="1"/>
    <col min="5" max="5" width="33" customWidth="1"/>
    <col min="6" max="7" width="34.28515625" customWidth="1"/>
    <col min="8" max="8" width="32.85546875" customWidth="1"/>
    <col min="9" max="9" width="34.140625" customWidth="1"/>
    <col min="10" max="10" width="43.140625" customWidth="1"/>
  </cols>
  <sheetData>
    <row r="1" spans="1:10" ht="46.5" customHeight="1" x14ac:dyDescent="0.25">
      <c r="A1" s="87" t="s">
        <v>114</v>
      </c>
      <c r="B1" s="87"/>
      <c r="C1" s="87"/>
      <c r="D1" s="87"/>
      <c r="E1" s="87"/>
      <c r="F1" s="87"/>
      <c r="G1" s="87"/>
      <c r="H1" s="87"/>
      <c r="I1" s="87"/>
      <c r="J1" s="87"/>
    </row>
    <row r="2" spans="1:10" ht="64.5" customHeight="1" x14ac:dyDescent="0.25">
      <c r="A2" s="105" t="s">
        <v>107</v>
      </c>
      <c r="B2" s="105"/>
      <c r="C2" s="105"/>
      <c r="D2" s="105"/>
      <c r="E2" s="105"/>
      <c r="F2" s="105"/>
      <c r="G2" s="105"/>
      <c r="H2" s="105"/>
      <c r="I2" s="105"/>
      <c r="J2" s="105"/>
    </row>
    <row r="3" spans="1:10" ht="49.5" customHeight="1" x14ac:dyDescent="0.25">
      <c r="A3" s="89" t="s">
        <v>58</v>
      </c>
      <c r="B3" s="89"/>
      <c r="C3" s="89"/>
      <c r="D3" s="89"/>
      <c r="E3" s="89"/>
      <c r="F3" s="89"/>
      <c r="G3" s="89"/>
      <c r="H3" s="89"/>
      <c r="I3" s="89"/>
      <c r="J3" s="89"/>
    </row>
    <row r="6" spans="1:10" ht="15" customHeight="1" x14ac:dyDescent="0.25">
      <c r="A6" s="63" t="s">
        <v>1</v>
      </c>
      <c r="B6" s="64" t="s">
        <v>2</v>
      </c>
      <c r="C6" s="63" t="s">
        <v>3</v>
      </c>
      <c r="D6" s="63" t="s">
        <v>4</v>
      </c>
      <c r="E6" s="63"/>
      <c r="F6" s="67" t="s">
        <v>5</v>
      </c>
      <c r="G6" s="79" t="s">
        <v>98</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184.5" customHeight="1" x14ac:dyDescent="0.4">
      <c r="A9" s="4">
        <v>1</v>
      </c>
      <c r="B9" s="33" t="s">
        <v>104</v>
      </c>
      <c r="C9" s="35" t="s">
        <v>96</v>
      </c>
      <c r="D9" s="34">
        <v>150</v>
      </c>
      <c r="E9" s="29">
        <v>98395</v>
      </c>
      <c r="F9" s="45">
        <v>0.3</v>
      </c>
      <c r="G9" s="43">
        <f>E9*F9</f>
        <v>29518.5</v>
      </c>
      <c r="H9" s="60">
        <f>E9+G9</f>
        <v>127913.5</v>
      </c>
      <c r="I9" s="26" t="s">
        <v>106</v>
      </c>
      <c r="J9" s="9" t="s">
        <v>11</v>
      </c>
    </row>
    <row r="10" spans="1:10" s="5" customFormat="1" ht="184.5" customHeight="1" x14ac:dyDescent="0.4">
      <c r="A10" s="4">
        <v>2</v>
      </c>
      <c r="B10" s="33" t="s">
        <v>105</v>
      </c>
      <c r="C10" s="35" t="s">
        <v>96</v>
      </c>
      <c r="D10" s="34">
        <v>70</v>
      </c>
      <c r="E10" s="29">
        <v>45920</v>
      </c>
      <c r="F10" s="45">
        <v>0.3</v>
      </c>
      <c r="G10" s="43">
        <f t="shared" ref="G10:G12" si="0">E10*F10</f>
        <v>13776</v>
      </c>
      <c r="H10" s="60">
        <f>E10+G10</f>
        <v>59696</v>
      </c>
      <c r="I10" s="26" t="s">
        <v>106</v>
      </c>
      <c r="J10" s="9" t="s">
        <v>11</v>
      </c>
    </row>
    <row r="11" spans="1:10" s="5" customFormat="1" ht="184.5" customHeight="1" x14ac:dyDescent="0.4">
      <c r="A11" s="4">
        <v>3</v>
      </c>
      <c r="B11" s="33" t="s">
        <v>95</v>
      </c>
      <c r="C11" s="35" t="s">
        <v>96</v>
      </c>
      <c r="D11" s="34">
        <v>60</v>
      </c>
      <c r="E11" s="29">
        <v>39360</v>
      </c>
      <c r="F11" s="45">
        <v>0.3</v>
      </c>
      <c r="G11" s="43">
        <f t="shared" si="0"/>
        <v>11808</v>
      </c>
      <c r="H11" s="60">
        <f>G11+E11</f>
        <v>51168</v>
      </c>
      <c r="I11" s="26" t="s">
        <v>106</v>
      </c>
      <c r="J11" s="9" t="s">
        <v>11</v>
      </c>
    </row>
    <row r="12" spans="1:10" s="30" customFormat="1" ht="212.25" customHeight="1" x14ac:dyDescent="0.5">
      <c r="A12" s="4">
        <v>4</v>
      </c>
      <c r="B12" s="16" t="s">
        <v>97</v>
      </c>
      <c r="C12" s="11" t="s">
        <v>96</v>
      </c>
      <c r="D12" s="36">
        <v>45</v>
      </c>
      <c r="E12" s="17">
        <v>29520</v>
      </c>
      <c r="F12" s="45">
        <v>0.3</v>
      </c>
      <c r="G12" s="43">
        <f t="shared" si="0"/>
        <v>8856</v>
      </c>
      <c r="H12" s="47">
        <f>G12+E12</f>
        <v>38376</v>
      </c>
      <c r="I12" s="26" t="s">
        <v>106</v>
      </c>
      <c r="J12" s="9" t="s">
        <v>11</v>
      </c>
    </row>
  </sheetData>
  <mergeCells count="12">
    <mergeCell ref="J6:J8"/>
    <mergeCell ref="A2:J2"/>
    <mergeCell ref="A3:J3"/>
    <mergeCell ref="A1:J1"/>
    <mergeCell ref="A6:A8"/>
    <mergeCell ref="B6:B8"/>
    <mergeCell ref="C6:C8"/>
    <mergeCell ref="D6:E7"/>
    <mergeCell ref="F6:F8"/>
    <mergeCell ref="G6:G8"/>
    <mergeCell ref="H6:H8"/>
    <mergeCell ref="I6:I8"/>
  </mergeCells>
  <hyperlinks>
    <hyperlink ref="I9" r:id="rId1"/>
  </hyperlinks>
  <pageMargins left="0.7" right="0.7" top="0.75" bottom="0.75" header="0.3" footer="0.3"/>
  <pageSetup paperSize="9" scale="38"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view="pageBreakPreview" zoomScale="60" zoomScaleNormal="50" workbookViewId="0">
      <selection activeCell="F6" sqref="F6:F12"/>
    </sheetView>
  </sheetViews>
  <sheetFormatPr baseColWidth="10" defaultRowHeight="15" x14ac:dyDescent="0.25"/>
  <cols>
    <col min="2" max="2" width="36.140625" customWidth="1"/>
    <col min="3" max="3" width="38" customWidth="1"/>
    <col min="4" max="4" width="35.140625" customWidth="1"/>
    <col min="5" max="5" width="36.28515625" customWidth="1"/>
    <col min="6" max="6" width="32.42578125" customWidth="1"/>
    <col min="7" max="7" width="31.85546875" customWidth="1"/>
    <col min="8" max="8" width="32.28515625" customWidth="1"/>
    <col min="9" max="9" width="36.140625" customWidth="1"/>
    <col min="10" max="10" width="41.5703125" customWidth="1"/>
  </cols>
  <sheetData>
    <row r="1" spans="1:10" ht="46.5" customHeight="1" x14ac:dyDescent="0.25">
      <c r="A1" s="87" t="s">
        <v>109</v>
      </c>
      <c r="B1" s="87"/>
      <c r="C1" s="87"/>
      <c r="D1" s="87"/>
      <c r="E1" s="87"/>
      <c r="F1" s="87"/>
      <c r="G1" s="87"/>
      <c r="H1" s="87"/>
      <c r="I1" s="87"/>
      <c r="J1" s="87"/>
    </row>
    <row r="2" spans="1:10" ht="64.5" customHeight="1" x14ac:dyDescent="0.25">
      <c r="A2" s="105" t="s">
        <v>110</v>
      </c>
      <c r="B2" s="105"/>
      <c r="C2" s="105"/>
      <c r="D2" s="105"/>
      <c r="E2" s="105"/>
      <c r="F2" s="105"/>
      <c r="G2" s="105"/>
      <c r="H2" s="105"/>
      <c r="I2" s="105"/>
      <c r="J2" s="105"/>
    </row>
    <row r="3" spans="1:10" ht="49.5" customHeight="1" x14ac:dyDescent="0.25">
      <c r="A3" s="89" t="s">
        <v>58</v>
      </c>
      <c r="B3" s="89"/>
      <c r="C3" s="89"/>
      <c r="D3" s="89"/>
      <c r="E3" s="89"/>
      <c r="F3" s="89"/>
      <c r="G3" s="89"/>
      <c r="H3" s="89"/>
      <c r="I3" s="89"/>
      <c r="J3" s="89"/>
    </row>
    <row r="6" spans="1:10" ht="15" customHeight="1" x14ac:dyDescent="0.25">
      <c r="A6" s="63" t="s">
        <v>1</v>
      </c>
      <c r="B6" s="64" t="s">
        <v>2</v>
      </c>
      <c r="C6" s="63" t="s">
        <v>3</v>
      </c>
      <c r="D6" s="63" t="s">
        <v>4</v>
      </c>
      <c r="E6" s="63"/>
      <c r="F6" s="67" t="s">
        <v>5</v>
      </c>
      <c r="G6" s="79" t="s">
        <v>98</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184.5" customHeight="1" x14ac:dyDescent="0.4">
      <c r="A9" s="4">
        <v>1</v>
      </c>
      <c r="B9" s="33" t="s">
        <v>105</v>
      </c>
      <c r="C9" s="35" t="s">
        <v>96</v>
      </c>
      <c r="D9" s="34">
        <v>150</v>
      </c>
      <c r="E9" s="29">
        <v>98395</v>
      </c>
      <c r="F9" s="45">
        <v>0.3</v>
      </c>
      <c r="G9" s="43">
        <f>E9*F9</f>
        <v>29518.5</v>
      </c>
      <c r="H9" s="60">
        <f>E9+G9</f>
        <v>127913.5</v>
      </c>
      <c r="I9" s="26" t="s">
        <v>106</v>
      </c>
      <c r="J9" s="9" t="s">
        <v>11</v>
      </c>
    </row>
    <row r="10" spans="1:10" s="5" customFormat="1" ht="184.5" customHeight="1" x14ac:dyDescent="0.4">
      <c r="A10" s="4">
        <v>2</v>
      </c>
      <c r="B10" s="33" t="s">
        <v>95</v>
      </c>
      <c r="C10" s="35" t="s">
        <v>96</v>
      </c>
      <c r="D10" s="34">
        <v>75</v>
      </c>
      <c r="E10" s="29">
        <v>49200</v>
      </c>
      <c r="F10" s="45">
        <v>0.3</v>
      </c>
      <c r="G10" s="43">
        <f>E10*F10</f>
        <v>14760</v>
      </c>
      <c r="H10" s="60">
        <f>E10+G10</f>
        <v>63960</v>
      </c>
      <c r="I10" s="26" t="s">
        <v>111</v>
      </c>
      <c r="J10" s="9" t="s">
        <v>11</v>
      </c>
    </row>
    <row r="11" spans="1:10" s="5" customFormat="1" ht="184.5" customHeight="1" x14ac:dyDescent="0.4">
      <c r="A11" s="4">
        <v>3</v>
      </c>
      <c r="B11" s="33" t="s">
        <v>97</v>
      </c>
      <c r="C11" s="35" t="s">
        <v>96</v>
      </c>
      <c r="D11" s="34">
        <v>63</v>
      </c>
      <c r="E11" s="29">
        <v>41325</v>
      </c>
      <c r="F11" s="45">
        <v>0.3</v>
      </c>
      <c r="G11" s="43">
        <f>E11*F11</f>
        <v>12397.5</v>
      </c>
      <c r="H11" s="60">
        <f>G11+E11</f>
        <v>53722.5</v>
      </c>
      <c r="I11" s="26" t="s">
        <v>111</v>
      </c>
      <c r="J11" s="9" t="s">
        <v>11</v>
      </c>
    </row>
    <row r="12" spans="1:10" s="30" customFormat="1" ht="212.25" customHeight="1" x14ac:dyDescent="0.5">
      <c r="A12" s="4">
        <v>4</v>
      </c>
      <c r="B12" s="16" t="s">
        <v>97</v>
      </c>
      <c r="C12" s="11" t="s">
        <v>96</v>
      </c>
      <c r="D12" s="36">
        <v>49</v>
      </c>
      <c r="E12" s="17">
        <v>32145</v>
      </c>
      <c r="F12" s="45">
        <v>0.3</v>
      </c>
      <c r="G12" s="43">
        <f>E12*F12</f>
        <v>9643.5</v>
      </c>
      <c r="H12" s="60">
        <f>G12+E12</f>
        <v>41788.5</v>
      </c>
      <c r="I12" s="26" t="s">
        <v>111</v>
      </c>
      <c r="J12" s="9" t="s">
        <v>11</v>
      </c>
    </row>
  </sheetData>
  <mergeCells count="12">
    <mergeCell ref="I6:I8"/>
    <mergeCell ref="J6:J8"/>
    <mergeCell ref="A1:J1"/>
    <mergeCell ref="A2:J2"/>
    <mergeCell ref="A3:J3"/>
    <mergeCell ref="A6:A8"/>
    <mergeCell ref="B6:B8"/>
    <mergeCell ref="C6:C8"/>
    <mergeCell ref="D6:E7"/>
    <mergeCell ref="F6:F8"/>
    <mergeCell ref="G6:G8"/>
    <mergeCell ref="H6:H8"/>
  </mergeCells>
  <hyperlinks>
    <hyperlink ref="I9" r:id="rId1"/>
    <hyperlink ref="I10" r:id="rId2"/>
  </hyperlinks>
  <pageMargins left="0.7" right="0.7" top="0.75" bottom="0.75" header="0.3" footer="0.3"/>
  <pageSetup paperSize="9" scale="39" fitToHeight="0" orientation="landscape"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view="pageBreakPreview" zoomScale="60" zoomScaleNormal="50" workbookViewId="0">
      <selection activeCell="A2" sqref="A2:J2"/>
    </sheetView>
  </sheetViews>
  <sheetFormatPr baseColWidth="10" defaultRowHeight="15" x14ac:dyDescent="0.25"/>
  <cols>
    <col min="2" max="2" width="34" customWidth="1"/>
    <col min="3" max="3" width="52.85546875" customWidth="1"/>
    <col min="4" max="4" width="37.42578125" customWidth="1"/>
    <col min="5" max="5" width="41.85546875" customWidth="1"/>
    <col min="6" max="6" width="37.140625" customWidth="1"/>
    <col min="7" max="7" width="30" customWidth="1"/>
    <col min="8" max="8" width="36.85546875" customWidth="1"/>
    <col min="9" max="9" width="39" customWidth="1"/>
    <col min="10" max="10" width="42" customWidth="1"/>
  </cols>
  <sheetData>
    <row r="1" spans="1:10" ht="46.5" customHeight="1" x14ac:dyDescent="0.25">
      <c r="A1" s="87" t="s">
        <v>112</v>
      </c>
      <c r="B1" s="87"/>
      <c r="C1" s="87"/>
      <c r="D1" s="87"/>
      <c r="E1" s="87"/>
      <c r="F1" s="87"/>
      <c r="G1" s="87"/>
      <c r="H1" s="87"/>
      <c r="I1" s="87"/>
      <c r="J1" s="87"/>
    </row>
    <row r="2" spans="1:10" ht="64.5" customHeight="1" x14ac:dyDescent="0.25">
      <c r="A2" s="105" t="s">
        <v>113</v>
      </c>
      <c r="B2" s="105"/>
      <c r="C2" s="105"/>
      <c r="D2" s="105"/>
      <c r="E2" s="105"/>
      <c r="F2" s="105"/>
      <c r="G2" s="105"/>
      <c r="H2" s="105"/>
      <c r="I2" s="105"/>
      <c r="J2" s="105"/>
    </row>
    <row r="3" spans="1:10" ht="49.5" customHeight="1" x14ac:dyDescent="0.25">
      <c r="A3" s="89" t="s">
        <v>58</v>
      </c>
      <c r="B3" s="89"/>
      <c r="C3" s="89"/>
      <c r="D3" s="89"/>
      <c r="E3" s="89"/>
      <c r="F3" s="89"/>
      <c r="G3" s="89"/>
      <c r="H3" s="89"/>
      <c r="I3" s="89"/>
      <c r="J3" s="89"/>
    </row>
    <row r="6" spans="1:10" ht="15" customHeight="1" x14ac:dyDescent="0.25">
      <c r="A6" s="63" t="s">
        <v>1</v>
      </c>
      <c r="B6" s="64" t="s">
        <v>2</v>
      </c>
      <c r="C6" s="63" t="s">
        <v>3</v>
      </c>
      <c r="D6" s="63" t="s">
        <v>4</v>
      </c>
      <c r="E6" s="63"/>
      <c r="F6" s="67" t="s">
        <v>5</v>
      </c>
      <c r="G6" s="79" t="s">
        <v>98</v>
      </c>
      <c r="H6" s="77" t="s">
        <v>6</v>
      </c>
      <c r="I6" s="63" t="s">
        <v>7</v>
      </c>
      <c r="J6" s="63" t="s">
        <v>8</v>
      </c>
    </row>
    <row r="7" spans="1:10" ht="15" customHeight="1" x14ac:dyDescent="0.25">
      <c r="A7" s="63"/>
      <c r="B7" s="65"/>
      <c r="C7" s="63"/>
      <c r="D7" s="63"/>
      <c r="E7" s="63"/>
      <c r="F7" s="67"/>
      <c r="G7" s="80"/>
      <c r="H7" s="77"/>
      <c r="I7" s="63"/>
      <c r="J7" s="63"/>
    </row>
    <row r="8" spans="1:10" s="5" customFormat="1" ht="81" customHeight="1" x14ac:dyDescent="0.4">
      <c r="A8" s="63"/>
      <c r="B8" s="66"/>
      <c r="C8" s="63"/>
      <c r="D8" s="3" t="s">
        <v>9</v>
      </c>
      <c r="E8" s="4" t="s">
        <v>10</v>
      </c>
      <c r="F8" s="67"/>
      <c r="G8" s="81"/>
      <c r="H8" s="77"/>
      <c r="I8" s="63"/>
      <c r="J8" s="63"/>
    </row>
    <row r="9" spans="1:10" s="5" customFormat="1" ht="184.5" customHeight="1" x14ac:dyDescent="0.4">
      <c r="A9" s="4">
        <v>1</v>
      </c>
      <c r="B9" s="33" t="s">
        <v>105</v>
      </c>
      <c r="C9" s="35" t="s">
        <v>96</v>
      </c>
      <c r="D9" s="34">
        <v>150</v>
      </c>
      <c r="E9" s="29">
        <v>98395</v>
      </c>
      <c r="F9" s="45">
        <v>0.3</v>
      </c>
      <c r="G9" s="43">
        <f>E9*F9</f>
        <v>29518.5</v>
      </c>
      <c r="H9" s="60">
        <f>E9+G9</f>
        <v>127913.5</v>
      </c>
      <c r="I9" s="26" t="s">
        <v>106</v>
      </c>
      <c r="J9" s="9" t="s">
        <v>11</v>
      </c>
    </row>
    <row r="10" spans="1:10" s="5" customFormat="1" ht="184.5" customHeight="1" x14ac:dyDescent="0.4">
      <c r="A10" s="4">
        <v>2</v>
      </c>
      <c r="B10" s="33" t="s">
        <v>95</v>
      </c>
      <c r="C10" s="35" t="s">
        <v>96</v>
      </c>
      <c r="D10" s="34">
        <v>75</v>
      </c>
      <c r="E10" s="29">
        <v>49200</v>
      </c>
      <c r="F10" s="45">
        <v>0.3</v>
      </c>
      <c r="G10" s="43">
        <f>E10*F10</f>
        <v>14760</v>
      </c>
      <c r="H10" s="60">
        <f t="shared" ref="H10:H12" si="0">E10+G10</f>
        <v>63960</v>
      </c>
      <c r="I10" s="26" t="s">
        <v>111</v>
      </c>
      <c r="J10" s="9" t="s">
        <v>11</v>
      </c>
    </row>
    <row r="11" spans="1:10" s="5" customFormat="1" ht="184.5" customHeight="1" x14ac:dyDescent="0.4">
      <c r="A11" s="4">
        <v>3</v>
      </c>
      <c r="B11" s="33" t="s">
        <v>97</v>
      </c>
      <c r="C11" s="35" t="s">
        <v>96</v>
      </c>
      <c r="D11" s="34">
        <v>63</v>
      </c>
      <c r="E11" s="29">
        <v>41325</v>
      </c>
      <c r="F11" s="45">
        <v>0.3</v>
      </c>
      <c r="G11" s="43">
        <f>E11*F11</f>
        <v>12397.5</v>
      </c>
      <c r="H11" s="60">
        <f t="shared" si="0"/>
        <v>53722.5</v>
      </c>
      <c r="I11" s="26" t="s">
        <v>111</v>
      </c>
      <c r="J11" s="9" t="s">
        <v>11</v>
      </c>
    </row>
    <row r="12" spans="1:10" s="30" customFormat="1" ht="212.25" customHeight="1" x14ac:dyDescent="0.5">
      <c r="A12" s="4">
        <v>4</v>
      </c>
      <c r="B12" s="16" t="s">
        <v>97</v>
      </c>
      <c r="C12" s="11" t="s">
        <v>96</v>
      </c>
      <c r="D12" s="36">
        <v>49</v>
      </c>
      <c r="E12" s="29">
        <v>32145</v>
      </c>
      <c r="F12" s="45">
        <v>0.3</v>
      </c>
      <c r="G12" s="43">
        <f>E12*F12</f>
        <v>9643.5</v>
      </c>
      <c r="H12" s="60">
        <f t="shared" si="0"/>
        <v>41788.5</v>
      </c>
      <c r="I12" s="26" t="s">
        <v>111</v>
      </c>
      <c r="J12" s="9" t="s">
        <v>11</v>
      </c>
    </row>
  </sheetData>
  <mergeCells count="12">
    <mergeCell ref="I6:I8"/>
    <mergeCell ref="J6:J8"/>
    <mergeCell ref="A1:J1"/>
    <mergeCell ref="A2:J2"/>
    <mergeCell ref="A3:J3"/>
    <mergeCell ref="A6:A8"/>
    <mergeCell ref="B6:B8"/>
    <mergeCell ref="C6:C8"/>
    <mergeCell ref="D6:E7"/>
    <mergeCell ref="F6:F8"/>
    <mergeCell ref="G6:G8"/>
    <mergeCell ref="H6:H8"/>
  </mergeCells>
  <hyperlinks>
    <hyperlink ref="I9" r:id="rId1"/>
    <hyperlink ref="I10" r:id="rId2"/>
  </hyperlinks>
  <pageMargins left="0.7" right="0.7" top="0.75" bottom="0.75" header="0.3" footer="0.3"/>
  <pageSetup paperSize="9" scale="36"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14</vt:i4>
      </vt:variant>
    </vt:vector>
  </HeadingPairs>
  <TitlesOfParts>
    <vt:vector size="30" baseType="lpstr">
      <vt:lpstr>CONCERT KATY PERRY PARIS</vt:lpstr>
      <vt:lpstr>CONCERT ONE REPUBLIC PARIS </vt:lpstr>
      <vt:lpstr>CONCERT STING PARIS</vt:lpstr>
      <vt:lpstr>CONCERT M.POKORA PARIS 2025</vt:lpstr>
      <vt:lpstr>CONCERT VYBZ KARTEL PARIS 2025</vt:lpstr>
      <vt:lpstr>CONCERT AMIR PARIS 2025</vt:lpstr>
      <vt:lpstr>CONCERT SOPRANO PARIS 2025</vt:lpstr>
      <vt:lpstr>CONCERT DINOS PARIS 2025</vt:lpstr>
      <vt:lpstr>CONCERT KENDJI GIRAC PARIS 2026</vt:lpstr>
      <vt:lpstr>CONCERT INDOCHINE PARIS 2026</vt:lpstr>
      <vt:lpstr>CONCERT NEJ PARIS 2026</vt:lpstr>
      <vt:lpstr>CONCERT WILL SMITH PARIS 2025</vt:lpstr>
      <vt:lpstr>CONCERT YSEULT PARIS 2025</vt:lpstr>
      <vt:lpstr>CONCERT PIT BACCARDI PARIS 2025</vt:lpstr>
      <vt:lpstr>SPECTACLE GAD ELMALEH PARIS</vt:lpstr>
      <vt:lpstr>CONCERT ANGELIQUE KIDJO PARIS </vt:lpstr>
      <vt:lpstr>'CONCERT AMIR PARIS 2025'!Zone_d_impression</vt:lpstr>
      <vt:lpstr>'CONCERT ANGELIQUE KIDJO PARIS '!Zone_d_impression</vt:lpstr>
      <vt:lpstr>'CONCERT DINOS PARIS 2025'!Zone_d_impression</vt:lpstr>
      <vt:lpstr>'CONCERT INDOCHINE PARIS 2026'!Zone_d_impression</vt:lpstr>
      <vt:lpstr>'CONCERT KATY PERRY PARIS'!Zone_d_impression</vt:lpstr>
      <vt:lpstr>'CONCERT KENDJI GIRAC PARIS 2026'!Zone_d_impression</vt:lpstr>
      <vt:lpstr>'CONCERT M.POKORA PARIS 2025'!Zone_d_impression</vt:lpstr>
      <vt:lpstr>'CONCERT ONE REPUBLIC PARIS '!Zone_d_impression</vt:lpstr>
      <vt:lpstr>'CONCERT SOPRANO PARIS 2025'!Zone_d_impression</vt:lpstr>
      <vt:lpstr>'CONCERT STING PARIS'!Zone_d_impression</vt:lpstr>
      <vt:lpstr>'CONCERT VYBZ KARTEL PARIS 2025'!Zone_d_impression</vt:lpstr>
      <vt:lpstr>'CONCERT WILL SMITH PARIS 2025'!Zone_d_impression</vt:lpstr>
      <vt:lpstr>'CONCERT YSEULT PARIS 2025'!Zone_d_impression</vt:lpstr>
      <vt:lpstr>'SPECTACLE GAD ELMALEH PARIS'!Zone_d_impression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CARRE PREMIUM</dc:creator>
  <cp:lastModifiedBy>CARRE PREMIUM</cp:lastModifiedBy>
  <cp:lastPrinted>2025-08-18T12:12:36Z</cp:lastPrinted>
  <dcterms:created xsi:type="dcterms:W3CDTF">2025-06-23T08:11:06Z</dcterms:created>
  <dcterms:modified xsi:type="dcterms:W3CDTF">2025-08-18T15:33:58Z</dcterms:modified>
</cp:coreProperties>
</file>